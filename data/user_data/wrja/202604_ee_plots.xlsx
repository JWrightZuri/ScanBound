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rja\Desktop\ScanBound\data\user_data\"/>
    </mc:Choice>
  </mc:AlternateContent>
  <xr:revisionPtr revIDLastSave="0" documentId="13_ncr:1_{96C280B0-A38B-4394-ACDC-431BF6E707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" l="1"/>
  <c r="X13" i="1"/>
  <c r="X14" i="1"/>
  <c r="X15" i="1"/>
  <c r="X16" i="1"/>
  <c r="X17" i="1"/>
  <c r="X18" i="1"/>
  <c r="X11" i="1"/>
  <c r="X35" i="1"/>
  <c r="Y35" i="1"/>
  <c r="Y34" i="1"/>
  <c r="X34" i="1"/>
  <c r="V35" i="1"/>
  <c r="W35" i="1"/>
  <c r="W34" i="1"/>
  <c r="V34" i="1"/>
  <c r="V28" i="1"/>
  <c r="W28" i="1"/>
  <c r="V29" i="1"/>
  <c r="W29" i="1"/>
  <c r="V30" i="1"/>
  <c r="W30" i="1"/>
  <c r="V31" i="1"/>
  <c r="W31" i="1"/>
  <c r="V32" i="1"/>
  <c r="W32" i="1"/>
  <c r="G10" i="1"/>
  <c r="X21" i="1"/>
  <c r="X22" i="1"/>
  <c r="X23" i="1"/>
  <c r="X24" i="1"/>
  <c r="X25" i="1"/>
  <c r="W20" i="1"/>
  <c r="X20" i="1" s="1"/>
  <c r="W21" i="1"/>
  <c r="W22" i="1"/>
  <c r="W23" i="1"/>
  <c r="W24" i="1"/>
  <c r="W25" i="1"/>
  <c r="V20" i="1"/>
  <c r="V21" i="1"/>
  <c r="V22" i="1"/>
  <c r="V23" i="1"/>
  <c r="V24" i="1"/>
  <c r="V25" i="1"/>
  <c r="W12" i="1"/>
  <c r="W13" i="1"/>
  <c r="W14" i="1"/>
  <c r="W15" i="1"/>
  <c r="W16" i="1"/>
  <c r="W17" i="1"/>
  <c r="W18" i="1"/>
  <c r="W11" i="1"/>
  <c r="V12" i="1"/>
  <c r="V13" i="1"/>
  <c r="V14" i="1"/>
  <c r="V15" i="1"/>
  <c r="V16" i="1"/>
  <c r="V17" i="1"/>
  <c r="V18" i="1"/>
  <c r="V11" i="1"/>
  <c r="T17" i="1"/>
  <c r="G18" i="1"/>
  <c r="T18" i="1"/>
  <c r="G37" i="1"/>
  <c r="G38" i="1"/>
  <c r="G36" i="1"/>
  <c r="G3" i="1"/>
  <c r="G4" i="1"/>
  <c r="G5" i="1"/>
  <c r="G7" i="1"/>
  <c r="G8" i="1"/>
  <c r="G11" i="1"/>
  <c r="G12" i="1"/>
  <c r="G13" i="1"/>
  <c r="G14" i="1"/>
  <c r="G15" i="1"/>
  <c r="G16" i="1"/>
  <c r="G22" i="1"/>
  <c r="T20" i="1"/>
  <c r="T21" i="1"/>
  <c r="T22" i="1"/>
  <c r="T23" i="1"/>
  <c r="T24" i="1"/>
  <c r="T25" i="1"/>
  <c r="T12" i="1"/>
  <c r="T13" i="1"/>
  <c r="T14" i="1"/>
  <c r="T15" i="1"/>
  <c r="T16" i="1"/>
  <c r="T11" i="1"/>
  <c r="O13" i="1"/>
  <c r="AA59" i="1"/>
  <c r="AA58" i="1"/>
  <c r="AA60" i="1" s="1"/>
  <c r="AA67" i="1" s="1"/>
  <c r="AB67" i="1" l="1"/>
  <c r="AA65" i="1"/>
  <c r="AA63" i="1"/>
  <c r="AA66" i="1"/>
  <c r="AA68" i="1"/>
  <c r="AA64" i="1"/>
</calcChain>
</file>

<file path=xl/sharedStrings.xml><?xml version="1.0" encoding="utf-8"?>
<sst xmlns="http://schemas.openxmlformats.org/spreadsheetml/2006/main" count="133" uniqueCount="82">
  <si>
    <t>Sample Name</t>
  </si>
  <si>
    <t>S</t>
  </si>
  <si>
    <t>R</t>
  </si>
  <si>
    <t>ee</t>
  </si>
  <si>
    <t>unknown</t>
  </si>
  <si>
    <t>error</t>
  </si>
  <si>
    <t>Temp</t>
  </si>
  <si>
    <t>9 AP A:Pd1</t>
  </si>
  <si>
    <t>20251113_PdGaA111_279a_5min_RT_200K</t>
  </si>
  <si>
    <t>20240327_PdGaA111_279a_3min_-175C_RT_-100C_-40C</t>
  </si>
  <si>
    <t>20250521_PdGaA111_279a_1min_flash_0.6A_200K_298K</t>
  </si>
  <si>
    <t>20241107_PdGaA111_279a_8min_-175C_RT_-100C_-40C_24C</t>
  </si>
  <si>
    <t>20240327_PdGaA111_279a_3min_-175C_RT_-100C_-40C_24C</t>
  </si>
  <si>
    <t>9 AP B:Pd1</t>
  </si>
  <si>
    <t>9 PE A:Pd1</t>
  </si>
  <si>
    <t>20260306_PdGaA111_709a_15s_0.4A_35C_10K</t>
  </si>
  <si>
    <t>20250803_PdGaA111_279Prod_2min_35C_98K</t>
  </si>
  <si>
    <t>20250725_PdGaA111_279Prod_5min_35C_RT</t>
  </si>
  <si>
    <t>avg per image</t>
  </si>
  <si>
    <t>shannon</t>
  </si>
  <si>
    <t>total</t>
  </si>
  <si>
    <t>20250520_PdGaA111_279a_1min_flash_0.6A</t>
  </si>
  <si>
    <t>20241107_PdGaA111_279a_8min_-175C_RT</t>
  </si>
  <si>
    <t>std between images</t>
  </si>
  <si>
    <t>20240418_PdGaA111_279a_5min_RT_RT</t>
  </si>
  <si>
    <t>unknown/2 %</t>
  </si>
  <si>
    <t>avg coverage (%)</t>
  </si>
  <si>
    <t>notes</t>
  </si>
  <si>
    <t>15 hr anneal</t>
  </si>
  <si>
    <t>deposited</t>
  </si>
  <si>
    <t>2 hr anneal</t>
  </si>
  <si>
    <t>20240605_PdGaB-1-1-1_279a_4min_-175C</t>
  </si>
  <si>
    <t>20250109_PdGaB-1-1-1_flash2.2A_4.5K</t>
  </si>
  <si>
    <t>20251002_PdGaB-1-1-1_279a_10min_RT_RT</t>
  </si>
  <si>
    <t>20241107_PdGaA111_279a_8min_-175C_RT_-100C_-40C</t>
  </si>
  <si>
    <t>Clean sample</t>
  </si>
  <si>
    <t>image</t>
  </si>
  <si>
    <t>count</t>
  </si>
  <si>
    <t>avg</t>
  </si>
  <si>
    <t>std</t>
  </si>
  <si>
    <t>size (N x N nm^2)</t>
  </si>
  <si>
    <t>vacancies/50 nm^2</t>
  </si>
  <si>
    <t>Per scan size N</t>
  </si>
  <si>
    <t>per nm ^2</t>
  </si>
  <si>
    <t>VISIBLE</t>
  </si>
  <si>
    <t>vac std</t>
  </si>
  <si>
    <t>vac norm</t>
  </si>
  <si>
    <t>vac density</t>
  </si>
  <si>
    <t>vac/50nm scan</t>
  </si>
  <si>
    <t>molec/50nm</t>
  </si>
  <si>
    <t>molec density</t>
  </si>
  <si>
    <t>molec std</t>
  </si>
  <si>
    <t>20241107_PdGaA111_279a_8min_-175C_RT_-100C</t>
  </si>
  <si>
    <t>What is correct temp?</t>
  </si>
  <si>
    <t>20241107_PdGaA111_279a_8min_-175C_RT_-100C_-40C_24C_77C</t>
  </si>
  <si>
    <t>20241107_PdGaA111_279a_8min_-175C_RT_-100C_-40C_24C_77C_127C</t>
  </si>
  <si>
    <t>Coverage increases, what if there was contamination?</t>
  </si>
  <si>
    <t>maybe not</t>
  </si>
  <si>
    <t>Could also be migration of molecules from terraces to vacancies (may need to do comparison)</t>
  </si>
  <si>
    <t>double check may be off</t>
  </si>
  <si>
    <t>20240328_PdGaA111_279a_3min_-175C_RT_-100C_-40C_24C_77C</t>
  </si>
  <si>
    <t>20240326_PdGaA111_279a_3min_-175C_RT</t>
  </si>
  <si>
    <t>20240327_PdGaA111_279a_3min_-175C_RT_-100C</t>
  </si>
  <si>
    <t>20240328_PdGaA111_279a_3min_-175C_RT_-100C_-40C_24C_77C_H_1min</t>
  </si>
  <si>
    <t>Almost no terraces in imaged region</t>
  </si>
  <si>
    <t>temp var (K)</t>
  </si>
  <si>
    <t>vac norm error</t>
  </si>
  <si>
    <t>Maximal density in 10 nm region found:</t>
  </si>
  <si>
    <t>20240525_PdGaA111_279a_3min_-175C_RT_24C</t>
  </si>
  <si>
    <t>Sample 1</t>
  </si>
  <si>
    <t xml:space="preserve">Sample 2 </t>
  </si>
  <si>
    <t>Sample 3</t>
  </si>
  <si>
    <t>20240521_PdGaA111_279a_3min_-175C_RT</t>
  </si>
  <si>
    <t>20240527_PdGaA111_279a_3min_-175C_RT_24C_77C</t>
  </si>
  <si>
    <t>15 hr anneal, no CO</t>
  </si>
  <si>
    <t>20240525_PdGaA111_279a_3min_-175C_RT_24C-region1 (flatland)</t>
  </si>
  <si>
    <t>20240525_PdGaA111_279a_3min_-175C_RT_24C-region2 (terraces)</t>
  </si>
  <si>
    <t>20241107_PdGaA111_279a_8min_-175C_RT_-100C_-40C_24C_77C_127C_227C_277C</t>
  </si>
  <si>
    <t>20241107_PdGaA111_279a_8min_-175C_RT_-100C_-40C_24C_77C_127C_227C</t>
  </si>
  <si>
    <t>S per 50 nm2</t>
  </si>
  <si>
    <t>R per 50 nm2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</si>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</sst>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b="1"/>
              <a:t>9-AP on A:Pd1 Enatiomeric Excess</a:t>
            </a:r>
          </a:p>
        </c:rich>
      </c:tx>
      <c:layout>
        <c:manualLayout>
          <c:xMode val="edge"/>
          <c:yMode val="edge"/>
          <c:x val="0.30038335670874244"/>
          <c:y val="2.9925187032418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Sample 2 ee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Tabelle1!$U$10:$U$18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20</c:v>
                  </c:pt>
                  <c:pt idx="2">
                    <c:v>20</c:v>
                  </c:pt>
                  <c:pt idx="3">
                    <c:v>20</c:v>
                  </c:pt>
                  <c:pt idx="4">
                    <c:v>5</c:v>
                  </c:pt>
                  <c:pt idx="5">
                    <c:v>20</c:v>
                  </c:pt>
                  <c:pt idx="6">
                    <c:v>20</c:v>
                  </c:pt>
                  <c:pt idx="7">
                    <c:v>20</c:v>
                  </c:pt>
                  <c:pt idx="8">
                    <c:v>20</c:v>
                  </c:pt>
                </c:numCache>
              </c:numRef>
            </c:plus>
            <c:minus>
              <c:numRef>
                <c:f>Tabelle1!$U$10:$U$18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20</c:v>
                  </c:pt>
                  <c:pt idx="2">
                    <c:v>20</c:v>
                  </c:pt>
                  <c:pt idx="3">
                    <c:v>20</c:v>
                  </c:pt>
                  <c:pt idx="4">
                    <c:v>5</c:v>
                  </c:pt>
                  <c:pt idx="5">
                    <c:v>20</c:v>
                  </c:pt>
                  <c:pt idx="6">
                    <c:v>20</c:v>
                  </c:pt>
                  <c:pt idx="7">
                    <c:v>20</c:v>
                  </c:pt>
                  <c:pt idx="8">
                    <c:v>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Tabelle1!$G$10:$G$18</c:f>
                <c:numCache>
                  <c:formatCode>General</c:formatCode>
                  <c:ptCount val="9"/>
                  <c:pt idx="0">
                    <c:v>0.20149999999999998</c:v>
                  </c:pt>
                  <c:pt idx="1">
                    <c:v>0.16460000000000002</c:v>
                  </c:pt>
                  <c:pt idx="2">
                    <c:v>0.30350000000000005</c:v>
                  </c:pt>
                  <c:pt idx="3">
                    <c:v>0.2656</c:v>
                  </c:pt>
                  <c:pt idx="4">
                    <c:v>8.5199999999999998E-2</c:v>
                  </c:pt>
                  <c:pt idx="5">
                    <c:v>0.13539999999999999</c:v>
                  </c:pt>
                  <c:pt idx="6">
                    <c:v>5.96E-2</c:v>
                  </c:pt>
                  <c:pt idx="7">
                    <c:v>0.15</c:v>
                  </c:pt>
                  <c:pt idx="8">
                    <c:v>0.25</c:v>
                  </c:pt>
                </c:numCache>
              </c:numRef>
            </c:plus>
            <c:minus>
              <c:numRef>
                <c:f>Tabelle1!$G$10:$G$18</c:f>
                <c:numCache>
                  <c:formatCode>General</c:formatCode>
                  <c:ptCount val="9"/>
                  <c:pt idx="0">
                    <c:v>0.20149999999999998</c:v>
                  </c:pt>
                  <c:pt idx="1">
                    <c:v>0.16460000000000002</c:v>
                  </c:pt>
                  <c:pt idx="2">
                    <c:v>0.30350000000000005</c:v>
                  </c:pt>
                  <c:pt idx="3">
                    <c:v>0.2656</c:v>
                  </c:pt>
                  <c:pt idx="4">
                    <c:v>8.5199999999999998E-2</c:v>
                  </c:pt>
                  <c:pt idx="5">
                    <c:v>0.13539999999999999</c:v>
                  </c:pt>
                  <c:pt idx="6">
                    <c:v>5.96E-2</c:v>
                  </c:pt>
                  <c:pt idx="7">
                    <c:v>0.15</c:v>
                  </c:pt>
                  <c:pt idx="8">
                    <c:v>0.25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Tabelle1!$B$10:$B$18</c:f>
              <c:numCache>
                <c:formatCode>General</c:formatCode>
                <c:ptCount val="9"/>
                <c:pt idx="0">
                  <c:v>10</c:v>
                </c:pt>
                <c:pt idx="1">
                  <c:v>98</c:v>
                </c:pt>
                <c:pt idx="2">
                  <c:v>177</c:v>
                </c:pt>
                <c:pt idx="3">
                  <c:v>233</c:v>
                </c:pt>
                <c:pt idx="4">
                  <c:v>298</c:v>
                </c:pt>
                <c:pt idx="5">
                  <c:v>350</c:v>
                </c:pt>
                <c:pt idx="6">
                  <c:v>400</c:v>
                </c:pt>
                <c:pt idx="7">
                  <c:v>500</c:v>
                </c:pt>
                <c:pt idx="8">
                  <c:v>550</c:v>
                </c:pt>
              </c:numCache>
            </c:numRef>
          </c:xVal>
          <c:yVal>
            <c:numRef>
              <c:f>Tabelle1!$H$10:$H$18</c:f>
              <c:numCache>
                <c:formatCode>General</c:formatCode>
                <c:ptCount val="9"/>
                <c:pt idx="0">
                  <c:v>7.0000000000000007E-2</c:v>
                </c:pt>
                <c:pt idx="1">
                  <c:v>0.09</c:v>
                </c:pt>
                <c:pt idx="2">
                  <c:v>0.15</c:v>
                </c:pt>
                <c:pt idx="3">
                  <c:v>-0.08</c:v>
                </c:pt>
                <c:pt idx="4">
                  <c:v>0.56999999999999995</c:v>
                </c:pt>
                <c:pt idx="5">
                  <c:v>0.34</c:v>
                </c:pt>
                <c:pt idx="6">
                  <c:v>-0.19</c:v>
                </c:pt>
                <c:pt idx="7">
                  <c:v>-0.21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B-4985-8A5A-FA0914B706B4}"/>
            </c:ext>
          </c:extLst>
        </c:ser>
        <c:ser>
          <c:idx val="3"/>
          <c:order val="3"/>
          <c:tx>
            <c:v>Sample 1 ee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Tabelle1!$B$20:$B$24</c:f>
              <c:numCache>
                <c:formatCode>General</c:formatCode>
                <c:ptCount val="5"/>
                <c:pt idx="0">
                  <c:v>98</c:v>
                </c:pt>
                <c:pt idx="1">
                  <c:v>173</c:v>
                </c:pt>
                <c:pt idx="2">
                  <c:v>233</c:v>
                </c:pt>
                <c:pt idx="3">
                  <c:v>298</c:v>
                </c:pt>
                <c:pt idx="4">
                  <c:v>350</c:v>
                </c:pt>
              </c:numCache>
              <c:extLst xmlns:c15="http://schemas.microsoft.com/office/drawing/2012/chart"/>
            </c:numRef>
          </c:xVal>
          <c:yVal>
            <c:numRef>
              <c:f>Tabelle1!$H$20:$H$24</c:f>
              <c:numCache>
                <c:formatCode>General</c:formatCode>
                <c:ptCount val="5"/>
                <c:pt idx="0">
                  <c:v>0.04</c:v>
                </c:pt>
                <c:pt idx="1">
                  <c:v>0.09</c:v>
                </c:pt>
                <c:pt idx="2">
                  <c:v>0.14000000000000001</c:v>
                </c:pt>
                <c:pt idx="3">
                  <c:v>0.64</c:v>
                </c:pt>
                <c:pt idx="4">
                  <c:v>-0.39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949C-4344-AD75-B3673397C96E}"/>
            </c:ext>
          </c:extLst>
        </c:ser>
        <c:ser>
          <c:idx val="4"/>
          <c:order val="4"/>
          <c:tx>
            <c:v>BPd1 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Tabelle1!$B$36:$B$38</c:f>
              <c:numCache>
                <c:formatCode>General</c:formatCode>
                <c:ptCount val="3"/>
                <c:pt idx="0">
                  <c:v>4.5</c:v>
                </c:pt>
                <c:pt idx="1">
                  <c:v>98</c:v>
                </c:pt>
                <c:pt idx="2">
                  <c:v>298</c:v>
                </c:pt>
              </c:numCache>
            </c:numRef>
          </c:xVal>
          <c:yVal>
            <c:numRef>
              <c:f>Tabelle1!$H$36:$H$38</c:f>
              <c:numCache>
                <c:formatCode>General</c:formatCode>
                <c:ptCount val="3"/>
                <c:pt idx="0">
                  <c:v>7.0000000000000007E-2</c:v>
                </c:pt>
                <c:pt idx="1">
                  <c:v>0</c:v>
                </c:pt>
                <c:pt idx="2">
                  <c:v>-0.27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87-483F-966E-35B63CEE1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64000"/>
        <c:axId val="710448160"/>
      </c:scatterChart>
      <c:scatterChart>
        <c:scatterStyle val="smoothMarker"/>
        <c:varyColors val="0"/>
        <c:ser>
          <c:idx val="1"/>
          <c:order val="1"/>
          <c:tx>
            <c:v>Sample 2 Vacancies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Tabelle1!$B$11:$B$18</c:f>
              <c:numCache>
                <c:formatCode>General</c:formatCode>
                <c:ptCount val="8"/>
                <c:pt idx="0">
                  <c:v>98</c:v>
                </c:pt>
                <c:pt idx="1">
                  <c:v>177</c:v>
                </c:pt>
                <c:pt idx="2">
                  <c:v>233</c:v>
                </c:pt>
                <c:pt idx="3">
                  <c:v>298</c:v>
                </c:pt>
                <c:pt idx="4">
                  <c:v>350</c:v>
                </c:pt>
                <c:pt idx="5">
                  <c:v>400</c:v>
                </c:pt>
                <c:pt idx="6">
                  <c:v>500</c:v>
                </c:pt>
                <c:pt idx="7">
                  <c:v>550</c:v>
                </c:pt>
              </c:numCache>
            </c:numRef>
          </c:xVal>
          <c:yVal>
            <c:numRef>
              <c:f>Tabelle1!$O$11:$O$18</c:f>
              <c:numCache>
                <c:formatCode>General</c:formatCode>
                <c:ptCount val="8"/>
                <c:pt idx="0">
                  <c:v>52.5</c:v>
                </c:pt>
                <c:pt idx="1">
                  <c:v>49.33</c:v>
                </c:pt>
                <c:pt idx="2">
                  <c:v>52</c:v>
                </c:pt>
                <c:pt idx="3">
                  <c:v>59.8</c:v>
                </c:pt>
                <c:pt idx="4">
                  <c:v>57.36</c:v>
                </c:pt>
                <c:pt idx="5">
                  <c:v>3.5</c:v>
                </c:pt>
                <c:pt idx="6">
                  <c:v>33.64</c:v>
                </c:pt>
                <c:pt idx="7">
                  <c:v>97.5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9C-4344-AD75-B3673397C96E}"/>
            </c:ext>
          </c:extLst>
        </c:ser>
        <c:ser>
          <c:idx val="2"/>
          <c:order val="2"/>
          <c:tx>
            <c:v>Sample 2 Molecules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Tabelle1!$B$11:$B$18</c:f>
              <c:numCache>
                <c:formatCode>General</c:formatCode>
                <c:ptCount val="8"/>
                <c:pt idx="0">
                  <c:v>98</c:v>
                </c:pt>
                <c:pt idx="1">
                  <c:v>177</c:v>
                </c:pt>
                <c:pt idx="2">
                  <c:v>233</c:v>
                </c:pt>
                <c:pt idx="3">
                  <c:v>298</c:v>
                </c:pt>
                <c:pt idx="4">
                  <c:v>350</c:v>
                </c:pt>
                <c:pt idx="5">
                  <c:v>400</c:v>
                </c:pt>
                <c:pt idx="6">
                  <c:v>500</c:v>
                </c:pt>
                <c:pt idx="7">
                  <c:v>550</c:v>
                </c:pt>
              </c:numCache>
            </c:numRef>
          </c:xVal>
          <c:yVal>
            <c:numRef>
              <c:f>Tabelle1!$R$11:$R$18</c:f>
              <c:numCache>
                <c:formatCode>General</c:formatCode>
                <c:ptCount val="8"/>
                <c:pt idx="0">
                  <c:v>200.5</c:v>
                </c:pt>
                <c:pt idx="1">
                  <c:v>163.66999999999999</c:v>
                </c:pt>
                <c:pt idx="2">
                  <c:v>120.5</c:v>
                </c:pt>
                <c:pt idx="3">
                  <c:v>71.5</c:v>
                </c:pt>
                <c:pt idx="4">
                  <c:v>57.73</c:v>
                </c:pt>
                <c:pt idx="5">
                  <c:v>134.25</c:v>
                </c:pt>
                <c:pt idx="6">
                  <c:v>169.09</c:v>
                </c:pt>
                <c:pt idx="7">
                  <c:v>58.6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9C-4344-AD75-B3673397C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171920"/>
        <c:axId val="1706174800"/>
      </c:scatterChart>
      <c:valAx>
        <c:axId val="71046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Sample 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10448160"/>
        <c:crosses val="autoZero"/>
        <c:crossBetween val="midCat"/>
      </c:valAx>
      <c:valAx>
        <c:axId val="71044816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Enantiomeric</a:t>
                </a:r>
                <a:r>
                  <a:rPr lang="en-US" b="1" baseline="0"/>
                  <a:t> Excess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10464000"/>
        <c:crosses val="autoZero"/>
        <c:crossBetween val="midCat"/>
      </c:valAx>
      <c:valAx>
        <c:axId val="1706174800"/>
        <c:scaling>
          <c:orientation val="minMax"/>
          <c:min val="-2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06171920"/>
        <c:crosses val="max"/>
        <c:crossBetween val="midCat"/>
      </c:valAx>
      <c:valAx>
        <c:axId val="1706171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6174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Visible</a:t>
            </a:r>
            <a:r>
              <a:rPr lang="en-US" baseline="0"/>
              <a:t> Vacancies to </a:t>
            </a:r>
            <a:r>
              <a:rPr lang="en-US"/>
              <a:t>Molecules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1"/>
          <c:tx>
            <c:v>Sample 2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Tabelle1!$U$11:$U$16</c:f>
                <c:numCache>
                  <c:formatCode>General</c:formatCode>
                  <c:ptCount val="6"/>
                  <c:pt idx="0">
                    <c:v>20</c:v>
                  </c:pt>
                  <c:pt idx="1">
                    <c:v>20</c:v>
                  </c:pt>
                  <c:pt idx="2">
                    <c:v>20</c:v>
                  </c:pt>
                  <c:pt idx="3">
                    <c:v>5</c:v>
                  </c:pt>
                  <c:pt idx="4">
                    <c:v>20</c:v>
                  </c:pt>
                  <c:pt idx="5">
                    <c:v>20</c:v>
                  </c:pt>
                </c:numCache>
              </c:numRef>
            </c:plus>
            <c:minus>
              <c:numRef>
                <c:f>Tabelle1!$U$11:$U$16</c:f>
                <c:numCache>
                  <c:formatCode>General</c:formatCode>
                  <c:ptCount val="6"/>
                  <c:pt idx="0">
                    <c:v>20</c:v>
                  </c:pt>
                  <c:pt idx="1">
                    <c:v>20</c:v>
                  </c:pt>
                  <c:pt idx="2">
                    <c:v>20</c:v>
                  </c:pt>
                  <c:pt idx="3">
                    <c:v>5</c:v>
                  </c:pt>
                  <c:pt idx="4">
                    <c:v>20</c:v>
                  </c:pt>
                  <c:pt idx="5">
                    <c:v>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Tabelle1!$T$11:$T$16</c:f>
                <c:numCache>
                  <c:formatCode>General</c:formatCode>
                  <c:ptCount val="6"/>
                  <c:pt idx="0">
                    <c:v>6.4000000000000001E-2</c:v>
                  </c:pt>
                  <c:pt idx="1">
                    <c:v>4.4399999999999995E-2</c:v>
                  </c:pt>
                  <c:pt idx="2">
                    <c:v>0.05</c:v>
                  </c:pt>
                  <c:pt idx="3">
                    <c:v>7.4999999999999997E-2</c:v>
                  </c:pt>
                  <c:pt idx="4">
                    <c:v>9.8199999999999982E-2</c:v>
                  </c:pt>
                  <c:pt idx="5">
                    <c:v>0.10369999999999999</c:v>
                  </c:pt>
                </c:numCache>
              </c:numRef>
            </c:plus>
            <c:minus>
              <c:numRef>
                <c:f>Tabelle1!$T$11:$T$16</c:f>
                <c:numCache>
                  <c:formatCode>General</c:formatCode>
                  <c:ptCount val="6"/>
                  <c:pt idx="0">
                    <c:v>6.4000000000000001E-2</c:v>
                  </c:pt>
                  <c:pt idx="1">
                    <c:v>4.4399999999999995E-2</c:v>
                  </c:pt>
                  <c:pt idx="2">
                    <c:v>0.05</c:v>
                  </c:pt>
                  <c:pt idx="3">
                    <c:v>7.4999999999999997E-2</c:v>
                  </c:pt>
                  <c:pt idx="4">
                    <c:v>9.8199999999999982E-2</c:v>
                  </c:pt>
                  <c:pt idx="5">
                    <c:v>0.10369999999999999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Tabelle1!$B$11:$B$18</c:f>
              <c:numCache>
                <c:formatCode>General</c:formatCode>
                <c:ptCount val="8"/>
                <c:pt idx="0">
                  <c:v>98</c:v>
                </c:pt>
                <c:pt idx="1">
                  <c:v>177</c:v>
                </c:pt>
                <c:pt idx="2">
                  <c:v>233</c:v>
                </c:pt>
                <c:pt idx="3">
                  <c:v>298</c:v>
                </c:pt>
                <c:pt idx="4">
                  <c:v>350</c:v>
                </c:pt>
                <c:pt idx="5">
                  <c:v>400</c:v>
                </c:pt>
                <c:pt idx="6">
                  <c:v>500</c:v>
                </c:pt>
                <c:pt idx="7">
                  <c:v>550</c:v>
                </c:pt>
              </c:numCache>
            </c:numRef>
          </c:xVal>
          <c:yVal>
            <c:numRef>
              <c:f>Tabelle1!$S$11:$S$18</c:f>
              <c:numCache>
                <c:formatCode>General</c:formatCode>
                <c:ptCount val="8"/>
                <c:pt idx="0">
                  <c:v>0.26</c:v>
                </c:pt>
                <c:pt idx="1">
                  <c:v>0.3</c:v>
                </c:pt>
                <c:pt idx="2">
                  <c:v>0.44</c:v>
                </c:pt>
                <c:pt idx="3">
                  <c:v>0.84</c:v>
                </c:pt>
                <c:pt idx="4">
                  <c:v>0.99</c:v>
                </c:pt>
                <c:pt idx="5">
                  <c:v>0.03</c:v>
                </c:pt>
                <c:pt idx="6">
                  <c:v>0.2</c:v>
                </c:pt>
                <c:pt idx="7">
                  <c:v>1.66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7A-4B67-A17E-101D7B648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869936"/>
        <c:axId val="144387041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Sample 1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x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Tabelle1!$U$11:$U$16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20</c:v>
                        </c:pt>
                        <c:pt idx="1">
                          <c:v>20</c:v>
                        </c:pt>
                        <c:pt idx="2">
                          <c:v>20</c:v>
                        </c:pt>
                        <c:pt idx="3">
                          <c:v>5</c:v>
                        </c:pt>
                        <c:pt idx="4">
                          <c:v>20</c:v>
                        </c:pt>
                        <c:pt idx="5">
                          <c:v>20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Tabelle1!$U$11:$U$16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20</c:v>
                        </c:pt>
                        <c:pt idx="1">
                          <c:v>20</c:v>
                        </c:pt>
                        <c:pt idx="2">
                          <c:v>20</c:v>
                        </c:pt>
                        <c:pt idx="3">
                          <c:v>5</c:v>
                        </c:pt>
                        <c:pt idx="4">
                          <c:v>20</c:v>
                        </c:pt>
                        <c:pt idx="5">
                          <c:v>20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Tabelle1!$T$20:$T$25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0.1196</c:v>
                        </c:pt>
                        <c:pt idx="1">
                          <c:v>0.191</c:v>
                        </c:pt>
                        <c:pt idx="2">
                          <c:v>0.14560000000000001</c:v>
                        </c:pt>
                        <c:pt idx="3">
                          <c:v>0.30100000000000005</c:v>
                        </c:pt>
                        <c:pt idx="4">
                          <c:v>0.13400000000000001</c:v>
                        </c:pt>
                        <c:pt idx="5">
                          <c:v>0.10144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Tabelle1!$T$20:$T$25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0.1196</c:v>
                        </c:pt>
                        <c:pt idx="1">
                          <c:v>0.191</c:v>
                        </c:pt>
                        <c:pt idx="2">
                          <c:v>0.14560000000000001</c:v>
                        </c:pt>
                        <c:pt idx="3">
                          <c:v>0.30100000000000005</c:v>
                        </c:pt>
                        <c:pt idx="4">
                          <c:v>0.13400000000000001</c:v>
                        </c:pt>
                        <c:pt idx="5">
                          <c:v>0.10144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>
                      <c:ext uri="{02D57815-91ED-43cb-92C2-25804820EDAC}">
                        <c15:formulaRef>
                          <c15:sqref>Tabelle1!$B$20:$B$24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98</c:v>
                      </c:pt>
                      <c:pt idx="1">
                        <c:v>173</c:v>
                      </c:pt>
                      <c:pt idx="2">
                        <c:v>233</c:v>
                      </c:pt>
                      <c:pt idx="3">
                        <c:v>298</c:v>
                      </c:pt>
                      <c:pt idx="4">
                        <c:v>350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Tabelle1!$S$20:$S$24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 formatCode="General">
                        <c:v>0.21</c:v>
                      </c:pt>
                      <c:pt idx="1">
                        <c:v>0.34</c:v>
                      </c:pt>
                      <c:pt idx="2" formatCode="General">
                        <c:v>0.39</c:v>
                      </c:pt>
                      <c:pt idx="3" formatCode="General">
                        <c:v>1.01</c:v>
                      </c:pt>
                      <c:pt idx="4" formatCode="General">
                        <c:v>0.09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EE7A-4B67-A17E-101D7B648C17}"/>
                  </c:ext>
                </c:extLst>
              </c15:ser>
            </c15:filteredScatterSeries>
          </c:ext>
        </c:extLst>
      </c:scatterChart>
      <c:valAx>
        <c:axId val="144386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70416"/>
        <c:crosses val="autoZero"/>
        <c:crossBetween val="midCat"/>
      </c:valAx>
      <c:valAx>
        <c:axId val="144387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Visible Vacancies</a:t>
                </a:r>
                <a:r>
                  <a:rPr lang="en-US" baseline="0"/>
                  <a:t> / Molecules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6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v>Sample 2 Vacancies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diamond"/>
            <c:size val="10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Tabelle1!$U$11:$U$18</c:f>
                <c:numCache>
                  <c:formatCode>General</c:formatCode>
                  <c:ptCount val="8"/>
                  <c:pt idx="0">
                    <c:v>20</c:v>
                  </c:pt>
                  <c:pt idx="1">
                    <c:v>20</c:v>
                  </c:pt>
                  <c:pt idx="2">
                    <c:v>20</c:v>
                  </c:pt>
                  <c:pt idx="3">
                    <c:v>5</c:v>
                  </c:pt>
                  <c:pt idx="4">
                    <c:v>20</c:v>
                  </c:pt>
                  <c:pt idx="5">
                    <c:v>20</c:v>
                  </c:pt>
                  <c:pt idx="6">
                    <c:v>20</c:v>
                  </c:pt>
                  <c:pt idx="7">
                    <c:v>20</c:v>
                  </c:pt>
                </c:numCache>
              </c:numRef>
            </c:plus>
            <c:minus>
              <c:numRef>
                <c:f>Tabelle1!$U$11:$U$18</c:f>
                <c:numCache>
                  <c:formatCode>General</c:formatCode>
                  <c:ptCount val="8"/>
                  <c:pt idx="0">
                    <c:v>20</c:v>
                  </c:pt>
                  <c:pt idx="1">
                    <c:v>20</c:v>
                  </c:pt>
                  <c:pt idx="2">
                    <c:v>20</c:v>
                  </c:pt>
                  <c:pt idx="3">
                    <c:v>5</c:v>
                  </c:pt>
                  <c:pt idx="4">
                    <c:v>20</c:v>
                  </c:pt>
                  <c:pt idx="5">
                    <c:v>20</c:v>
                  </c:pt>
                  <c:pt idx="6">
                    <c:v>20</c:v>
                  </c:pt>
                  <c:pt idx="7">
                    <c:v>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Tabelle1!$X$11:$X$18</c:f>
                <c:numCache>
                  <c:formatCode>General</c:formatCode>
                  <c:ptCount val="8"/>
                  <c:pt idx="0">
                    <c:v>9.5</c:v>
                  </c:pt>
                  <c:pt idx="1">
                    <c:v>4.5</c:v>
                  </c:pt>
                  <c:pt idx="2">
                    <c:v>8</c:v>
                  </c:pt>
                  <c:pt idx="3">
                    <c:v>9.375</c:v>
                  </c:pt>
                  <c:pt idx="4">
                    <c:v>13.15</c:v>
                  </c:pt>
                  <c:pt idx="5">
                    <c:v>1.4999999999999998</c:v>
                  </c:pt>
                  <c:pt idx="6">
                    <c:v>10.824999999999999</c:v>
                  </c:pt>
                  <c:pt idx="7">
                    <c:v>5.9250000000000007</c:v>
                  </c:pt>
                </c:numCache>
              </c:numRef>
            </c:plus>
            <c:minus>
              <c:numRef>
                <c:f>Tabelle1!$X$11:$X$18</c:f>
                <c:numCache>
                  <c:formatCode>General</c:formatCode>
                  <c:ptCount val="8"/>
                  <c:pt idx="0">
                    <c:v>9.5</c:v>
                  </c:pt>
                  <c:pt idx="1">
                    <c:v>4.5</c:v>
                  </c:pt>
                  <c:pt idx="2">
                    <c:v>8</c:v>
                  </c:pt>
                  <c:pt idx="3">
                    <c:v>9.375</c:v>
                  </c:pt>
                  <c:pt idx="4">
                    <c:v>13.15</c:v>
                  </c:pt>
                  <c:pt idx="5">
                    <c:v>1.4999999999999998</c:v>
                  </c:pt>
                  <c:pt idx="6">
                    <c:v>10.824999999999999</c:v>
                  </c:pt>
                  <c:pt idx="7">
                    <c:v>5.9250000000000007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Tabelle1!$B$11:$B$18</c:f>
              <c:numCache>
                <c:formatCode>General</c:formatCode>
                <c:ptCount val="8"/>
                <c:pt idx="0">
                  <c:v>98</c:v>
                </c:pt>
                <c:pt idx="1">
                  <c:v>177</c:v>
                </c:pt>
                <c:pt idx="2">
                  <c:v>233</c:v>
                </c:pt>
                <c:pt idx="3">
                  <c:v>298</c:v>
                </c:pt>
                <c:pt idx="4">
                  <c:v>350</c:v>
                </c:pt>
                <c:pt idx="5">
                  <c:v>400</c:v>
                </c:pt>
                <c:pt idx="6">
                  <c:v>500</c:v>
                </c:pt>
                <c:pt idx="7">
                  <c:v>550</c:v>
                </c:pt>
              </c:numCache>
            </c:numRef>
          </c:xVal>
          <c:yVal>
            <c:numRef>
              <c:f>Tabelle1!$O$11:$O$18</c:f>
              <c:numCache>
                <c:formatCode>General</c:formatCode>
                <c:ptCount val="8"/>
                <c:pt idx="0">
                  <c:v>52.5</c:v>
                </c:pt>
                <c:pt idx="1">
                  <c:v>49.33</c:v>
                </c:pt>
                <c:pt idx="2">
                  <c:v>52</c:v>
                </c:pt>
                <c:pt idx="3">
                  <c:v>59.8</c:v>
                </c:pt>
                <c:pt idx="4">
                  <c:v>57.36</c:v>
                </c:pt>
                <c:pt idx="5">
                  <c:v>3.5</c:v>
                </c:pt>
                <c:pt idx="6">
                  <c:v>33.64</c:v>
                </c:pt>
                <c:pt idx="7">
                  <c:v>97.5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0F-4C1C-889F-8EC8E708937D}"/>
            </c:ext>
          </c:extLst>
        </c:ser>
        <c:ser>
          <c:idx val="3"/>
          <c:order val="3"/>
          <c:tx>
            <c:v>Sample 2 Molecules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Tabelle1!$U$11:$U$18</c:f>
                <c:numCache>
                  <c:formatCode>General</c:formatCode>
                  <c:ptCount val="8"/>
                  <c:pt idx="0">
                    <c:v>20</c:v>
                  </c:pt>
                  <c:pt idx="1">
                    <c:v>20</c:v>
                  </c:pt>
                  <c:pt idx="2">
                    <c:v>20</c:v>
                  </c:pt>
                  <c:pt idx="3">
                    <c:v>5</c:v>
                  </c:pt>
                  <c:pt idx="4">
                    <c:v>20</c:v>
                  </c:pt>
                  <c:pt idx="5">
                    <c:v>20</c:v>
                  </c:pt>
                  <c:pt idx="6">
                    <c:v>20</c:v>
                  </c:pt>
                  <c:pt idx="7">
                    <c:v>20</c:v>
                  </c:pt>
                </c:numCache>
              </c:numRef>
            </c:plus>
            <c:minus>
              <c:numRef>
                <c:f>Tabelle1!$U$11:$U$18</c:f>
                <c:numCache>
                  <c:formatCode>General</c:formatCode>
                  <c:ptCount val="8"/>
                  <c:pt idx="0">
                    <c:v>20</c:v>
                  </c:pt>
                  <c:pt idx="1">
                    <c:v>20</c:v>
                  </c:pt>
                  <c:pt idx="2">
                    <c:v>20</c:v>
                  </c:pt>
                  <c:pt idx="3">
                    <c:v>5</c:v>
                  </c:pt>
                  <c:pt idx="4">
                    <c:v>20</c:v>
                  </c:pt>
                  <c:pt idx="5">
                    <c:v>20</c:v>
                  </c:pt>
                  <c:pt idx="6">
                    <c:v>20</c:v>
                  </c:pt>
                  <c:pt idx="7">
                    <c:v>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Tabelle1!$B$11:$B$18</c:f>
              <c:numCache>
                <c:formatCode>General</c:formatCode>
                <c:ptCount val="8"/>
                <c:pt idx="0">
                  <c:v>98</c:v>
                </c:pt>
                <c:pt idx="1">
                  <c:v>177</c:v>
                </c:pt>
                <c:pt idx="2">
                  <c:v>233</c:v>
                </c:pt>
                <c:pt idx="3">
                  <c:v>298</c:v>
                </c:pt>
                <c:pt idx="4">
                  <c:v>350</c:v>
                </c:pt>
                <c:pt idx="5">
                  <c:v>400</c:v>
                </c:pt>
                <c:pt idx="6">
                  <c:v>500</c:v>
                </c:pt>
                <c:pt idx="7">
                  <c:v>550</c:v>
                </c:pt>
              </c:numCache>
            </c:numRef>
          </c:xVal>
          <c:yVal>
            <c:numRef>
              <c:f>Tabelle1!$R$11:$R$18</c:f>
              <c:numCache>
                <c:formatCode>General</c:formatCode>
                <c:ptCount val="8"/>
                <c:pt idx="0">
                  <c:v>200.5</c:v>
                </c:pt>
                <c:pt idx="1">
                  <c:v>163.66999999999999</c:v>
                </c:pt>
                <c:pt idx="2">
                  <c:v>120.5</c:v>
                </c:pt>
                <c:pt idx="3">
                  <c:v>71.5</c:v>
                </c:pt>
                <c:pt idx="4">
                  <c:v>57.73</c:v>
                </c:pt>
                <c:pt idx="5">
                  <c:v>134.25</c:v>
                </c:pt>
                <c:pt idx="6">
                  <c:v>169.09</c:v>
                </c:pt>
                <c:pt idx="7">
                  <c:v>58.6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0F-4C1C-889F-8EC8E708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997520"/>
        <c:axId val="18729908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Sample 1 Vacancies</c:v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diamond"/>
                  <c:size val="8"/>
                  <c:spPr>
                    <a:solidFill>
                      <a:schemeClr val="accent1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Tabelle1!$B$20:$B$24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98</c:v>
                      </c:pt>
                      <c:pt idx="1">
                        <c:v>173</c:v>
                      </c:pt>
                      <c:pt idx="2">
                        <c:v>233</c:v>
                      </c:pt>
                      <c:pt idx="3">
                        <c:v>298</c:v>
                      </c:pt>
                      <c:pt idx="4">
                        <c:v>350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Tabelle1!$O$20:$O$24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51.85</c:v>
                      </c:pt>
                      <c:pt idx="1">
                        <c:v>79.37</c:v>
                      </c:pt>
                      <c:pt idx="2">
                        <c:v>81.48</c:v>
                      </c:pt>
                      <c:pt idx="3">
                        <c:v>100</c:v>
                      </c:pt>
                      <c:pt idx="4" formatCode="0.00E+00">
                        <c:v>6.4000000000000001E-2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B0F-4C1C-889F-8EC8E708937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Sample 1 Molecules</c:v>
                </c:tx>
                <c:spPr>
                  <a:ln w="19050" cap="rnd">
                    <a:solidFill>
                      <a:schemeClr val="accent1">
                        <a:lumMod val="75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5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Tabelle1!$B$20:$B$24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98</c:v>
                      </c:pt>
                      <c:pt idx="1">
                        <c:v>173</c:v>
                      </c:pt>
                      <c:pt idx="2">
                        <c:v>233</c:v>
                      </c:pt>
                      <c:pt idx="3">
                        <c:v>298</c:v>
                      </c:pt>
                      <c:pt idx="4">
                        <c:v>350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Tabelle1!$R$20:$R$24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246.3</c:v>
                      </c:pt>
                      <c:pt idx="1">
                        <c:v>232.14</c:v>
                      </c:pt>
                      <c:pt idx="2">
                        <c:v>206.48</c:v>
                      </c:pt>
                      <c:pt idx="3">
                        <c:v>100.14</c:v>
                      </c:pt>
                      <c:pt idx="4">
                        <c:v>160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B0F-4C1C-889F-8EC8E708937D}"/>
                  </c:ext>
                </c:extLst>
              </c15:ser>
            </c15:filteredScatterSeries>
          </c:ext>
        </c:extLst>
      </c:scatterChart>
      <c:valAx>
        <c:axId val="187299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90800"/>
        <c:crosses val="autoZero"/>
        <c:crossBetween val="midCat"/>
      </c:valAx>
      <c:valAx>
        <c:axId val="187299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Averaged Count per 50 nm^2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9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140326</xdr:colOff>
      <xdr:row>34</xdr:row>
      <xdr:rowOff>49078</xdr:rowOff>
    </xdr:from>
    <xdr:to>
      <xdr:col>16</xdr:col>
      <xdr:colOff>602433</xdr:colOff>
      <xdr:row>52</xdr:row>
      <xdr:rowOff>131039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D3EA1-369B-8B94-0694-4BAA3C4D4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469650</xdr:colOff>
      <xdr:row>54</xdr:row>
      <xdr:rowOff>43495</xdr:rowOff>
    </xdr:from>
    <xdr:to>
      <xdr:col>17</xdr:col>
      <xdr:colOff>547520</xdr:colOff>
      <xdr:row>78</xdr:row>
      <xdr:rowOff>81354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15FFBD-873C-997B-E9FE-C4E558F37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93883</xdr:colOff>
      <xdr:row>17</xdr:row>
      <xdr:rowOff>179980</xdr:rowOff>
    </xdr:from>
    <xdr:to>
      <xdr:col>20</xdr:col>
      <xdr:colOff>399885</xdr:colOff>
      <xdr:row>44</xdr:row>
      <xdr:rowOff>101092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F3D2DC-84FB-CC2F-A499-1521D51B8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zoomScale="70" zoomScaleNormal="70" workbookViewId="0">
      <selection activeCell="X11" sqref="X11:X18"/>
    </sheetView>
  </sheetViews>
  <sheetFormatPr defaultRowHeight="14.4" x14ac:dyDescent="0.3"/>
  <cols>
    <col min="1" max="1" width="73.33203125" bestFit="1" customWidth="1"/>
    <col min="15" max="17" width="13.33203125" customWidth="1"/>
    <col min="18" max="18" width="11.6640625" bestFit="1" customWidth="1"/>
    <col min="22" max="24" width="15.88671875" customWidth="1"/>
    <col min="28" max="28" width="14.6640625" bestFit="1" customWidth="1"/>
  </cols>
  <sheetData>
    <row r="1" spans="1:29" x14ac:dyDescent="0.3">
      <c r="A1" s="6" t="s">
        <v>7</v>
      </c>
      <c r="B1" s="6"/>
      <c r="C1" s="6"/>
      <c r="D1" s="6"/>
      <c r="E1" s="6"/>
      <c r="F1" s="6"/>
      <c r="G1" s="6"/>
      <c r="H1" s="6"/>
      <c r="I1" s="6"/>
    </row>
    <row r="2" spans="1:29" x14ac:dyDescent="0.3">
      <c r="A2" s="1" t="s">
        <v>0</v>
      </c>
      <c r="B2" s="1" t="s">
        <v>6</v>
      </c>
      <c r="C2" s="1" t="s">
        <v>20</v>
      </c>
      <c r="D2" s="1" t="s">
        <v>1</v>
      </c>
      <c r="E2" s="1" t="s">
        <v>2</v>
      </c>
      <c r="F2" s="1" t="s">
        <v>4</v>
      </c>
      <c r="G2" s="1" t="s">
        <v>25</v>
      </c>
      <c r="H2" s="1" t="s">
        <v>3</v>
      </c>
      <c r="I2" s="1" t="s">
        <v>23</v>
      </c>
      <c r="J2" s="1" t="s">
        <v>18</v>
      </c>
      <c r="K2" s="1" t="s">
        <v>26</v>
      </c>
      <c r="L2" s="1" t="s">
        <v>19</v>
      </c>
      <c r="M2" s="1" t="s">
        <v>47</v>
      </c>
      <c r="N2" s="1" t="s">
        <v>45</v>
      </c>
      <c r="O2" s="1" t="s">
        <v>48</v>
      </c>
      <c r="P2" s="1" t="s">
        <v>50</v>
      </c>
      <c r="Q2" s="1" t="s">
        <v>51</v>
      </c>
      <c r="R2" s="1" t="s">
        <v>49</v>
      </c>
      <c r="S2" s="1" t="s">
        <v>46</v>
      </c>
      <c r="T2" s="1" t="s">
        <v>66</v>
      </c>
      <c r="U2" s="1" t="s">
        <v>65</v>
      </c>
      <c r="V2" s="1" t="s">
        <v>79</v>
      </c>
      <c r="W2" s="1" t="s">
        <v>80</v>
      </c>
      <c r="X2" s="1" t="s">
        <v>81</v>
      </c>
      <c r="Y2" s="1" t="s">
        <v>27</v>
      </c>
    </row>
    <row r="3" spans="1:29" x14ac:dyDescent="0.3">
      <c r="A3" t="s">
        <v>21</v>
      </c>
      <c r="B3">
        <v>10</v>
      </c>
      <c r="C3">
        <v>134</v>
      </c>
      <c r="D3">
        <v>57</v>
      </c>
      <c r="E3">
        <v>50</v>
      </c>
      <c r="F3">
        <v>20.149999999999999</v>
      </c>
      <c r="G3">
        <f>F3*0.01</f>
        <v>0.20149999999999998</v>
      </c>
      <c r="H3">
        <v>7.0000000000000007E-2</v>
      </c>
      <c r="I3">
        <v>4</v>
      </c>
      <c r="J3">
        <v>8</v>
      </c>
      <c r="K3">
        <v>3.3</v>
      </c>
      <c r="L3">
        <v>0.77629999999999999</v>
      </c>
    </row>
    <row r="4" spans="1:29" x14ac:dyDescent="0.3">
      <c r="A4" t="s">
        <v>12</v>
      </c>
      <c r="B4">
        <v>298</v>
      </c>
      <c r="C4">
        <v>672</v>
      </c>
      <c r="D4">
        <v>476</v>
      </c>
      <c r="E4">
        <v>114</v>
      </c>
      <c r="F4">
        <v>12.2</v>
      </c>
      <c r="G4">
        <f>F4*0.01</f>
        <v>0.122</v>
      </c>
      <c r="H4">
        <v>0.61</v>
      </c>
      <c r="I4">
        <v>9.89</v>
      </c>
      <c r="J4">
        <v>32</v>
      </c>
      <c r="K4">
        <v>9.09</v>
      </c>
      <c r="L4">
        <v>0.70730000000000004</v>
      </c>
      <c r="Y4" t="s">
        <v>28</v>
      </c>
    </row>
    <row r="5" spans="1:29" x14ac:dyDescent="0.3">
      <c r="A5" t="s">
        <v>8</v>
      </c>
      <c r="B5">
        <v>177</v>
      </c>
      <c r="C5">
        <v>242</v>
      </c>
      <c r="D5">
        <v>110</v>
      </c>
      <c r="E5">
        <v>111</v>
      </c>
      <c r="F5">
        <v>8.68</v>
      </c>
      <c r="G5">
        <f t="shared" ref="G5:G18" si="0">F5*0.01</f>
        <v>8.6800000000000002E-2</v>
      </c>
      <c r="H5">
        <v>0</v>
      </c>
      <c r="I5">
        <v>12.57</v>
      </c>
      <c r="J5">
        <v>18</v>
      </c>
      <c r="K5">
        <v>19.54</v>
      </c>
      <c r="L5">
        <v>0.71679999999999999</v>
      </c>
      <c r="Y5" t="s">
        <v>53</v>
      </c>
      <c r="AC5" s="1"/>
    </row>
    <row r="6" spans="1:29" x14ac:dyDescent="0.3">
      <c r="AB6" s="1"/>
    </row>
    <row r="7" spans="1:29" x14ac:dyDescent="0.3">
      <c r="A7" t="s">
        <v>24</v>
      </c>
      <c r="B7">
        <v>298</v>
      </c>
      <c r="C7">
        <v>436</v>
      </c>
      <c r="D7">
        <v>212</v>
      </c>
      <c r="E7">
        <v>197</v>
      </c>
      <c r="F7">
        <v>6.62</v>
      </c>
      <c r="G7">
        <f t="shared" si="0"/>
        <v>6.6200000000000009E-2</v>
      </c>
      <c r="H7">
        <v>0.04</v>
      </c>
      <c r="I7">
        <v>12.46</v>
      </c>
      <c r="J7">
        <v>54</v>
      </c>
      <c r="K7">
        <v>15.49</v>
      </c>
      <c r="L7">
        <v>0.77559999999999996</v>
      </c>
      <c r="M7" s="2">
        <v>2.35E-2</v>
      </c>
      <c r="N7" s="2">
        <v>9.1500000000000001E-3</v>
      </c>
      <c r="O7" s="2">
        <v>58.68</v>
      </c>
      <c r="P7" s="2">
        <v>6.08E-2</v>
      </c>
      <c r="Q7" s="2">
        <v>1.4E-2</v>
      </c>
      <c r="R7">
        <v>152.08000000000001</v>
      </c>
      <c r="S7">
        <v>0.39</v>
      </c>
      <c r="U7">
        <v>5</v>
      </c>
      <c r="Y7" t="s">
        <v>29</v>
      </c>
    </row>
    <row r="8" spans="1:29" x14ac:dyDescent="0.3">
      <c r="A8" t="s">
        <v>10</v>
      </c>
      <c r="B8">
        <v>298</v>
      </c>
      <c r="C8">
        <v>170</v>
      </c>
      <c r="D8">
        <v>67</v>
      </c>
      <c r="E8">
        <v>52</v>
      </c>
      <c r="F8">
        <v>30</v>
      </c>
      <c r="G8">
        <f t="shared" si="0"/>
        <v>0.3</v>
      </c>
      <c r="H8">
        <v>0.13</v>
      </c>
      <c r="I8">
        <v>3.44</v>
      </c>
      <c r="J8">
        <v>6</v>
      </c>
      <c r="K8">
        <v>2.68</v>
      </c>
      <c r="L8">
        <v>0.75900000000000001</v>
      </c>
      <c r="Y8" t="s">
        <v>30</v>
      </c>
    </row>
    <row r="9" spans="1:29" x14ac:dyDescent="0.3">
      <c r="A9" s="1" t="s">
        <v>70</v>
      </c>
      <c r="M9" t="s">
        <v>59</v>
      </c>
    </row>
    <row r="10" spans="1:29" x14ac:dyDescent="0.3">
      <c r="A10" t="s">
        <v>21</v>
      </c>
      <c r="B10">
        <v>10</v>
      </c>
      <c r="C10">
        <v>134</v>
      </c>
      <c r="D10">
        <v>57</v>
      </c>
      <c r="E10">
        <v>50</v>
      </c>
      <c r="F10">
        <v>20.149999999999999</v>
      </c>
      <c r="G10">
        <f>F10*0.01</f>
        <v>0.20149999999999998</v>
      </c>
      <c r="H10">
        <v>7.0000000000000007E-2</v>
      </c>
      <c r="I10">
        <v>4</v>
      </c>
      <c r="J10">
        <v>8</v>
      </c>
      <c r="K10">
        <v>3.3</v>
      </c>
      <c r="L10">
        <v>0.77629999999999999</v>
      </c>
      <c r="U10">
        <v>0</v>
      </c>
    </row>
    <row r="11" spans="1:29" x14ac:dyDescent="0.3">
      <c r="A11" t="s">
        <v>22</v>
      </c>
      <c r="B11">
        <v>98</v>
      </c>
      <c r="C11">
        <v>401</v>
      </c>
      <c r="D11">
        <v>183</v>
      </c>
      <c r="E11">
        <v>152</v>
      </c>
      <c r="F11">
        <v>16.46</v>
      </c>
      <c r="G11">
        <f>F11*0.01</f>
        <v>0.16460000000000002</v>
      </c>
      <c r="H11">
        <v>0.09</v>
      </c>
      <c r="I11">
        <v>6.5</v>
      </c>
      <c r="J11">
        <v>200</v>
      </c>
      <c r="K11">
        <v>20.51</v>
      </c>
      <c r="L11">
        <v>0.68059999999999998</v>
      </c>
      <c r="M11" s="2">
        <v>2.1000000000000001E-2</v>
      </c>
      <c r="N11" s="2">
        <v>3.8E-3</v>
      </c>
      <c r="O11">
        <v>52.5</v>
      </c>
      <c r="P11" s="2">
        <v>8.0199999999999994E-2</v>
      </c>
      <c r="Q11" s="2">
        <v>2.5999999999999999E-3</v>
      </c>
      <c r="R11">
        <v>200.5</v>
      </c>
      <c r="S11">
        <v>0.26</v>
      </c>
      <c r="T11" s="2">
        <f>(N11+Q11)*10</f>
        <v>6.4000000000000001E-2</v>
      </c>
      <c r="U11">
        <v>20</v>
      </c>
      <c r="V11" s="4">
        <f>D11/C11*R11</f>
        <v>91.5</v>
      </c>
      <c r="W11" s="4">
        <f>E11/C11*R11</f>
        <v>76</v>
      </c>
      <c r="X11" s="4">
        <f>N11*2500</f>
        <v>9.5</v>
      </c>
      <c r="Y11" s="2"/>
    </row>
    <row r="12" spans="1:29" x14ac:dyDescent="0.3">
      <c r="A12" t="s">
        <v>52</v>
      </c>
      <c r="B12">
        <v>177</v>
      </c>
      <c r="C12">
        <v>491</v>
      </c>
      <c r="D12">
        <v>196</v>
      </c>
      <c r="E12">
        <v>146</v>
      </c>
      <c r="F12">
        <v>30.35</v>
      </c>
      <c r="G12">
        <f>F12*0.01</f>
        <v>0.30350000000000005</v>
      </c>
      <c r="H12">
        <v>0.15</v>
      </c>
      <c r="I12">
        <v>6.6</v>
      </c>
      <c r="J12">
        <v>163</v>
      </c>
      <c r="K12">
        <v>16.75</v>
      </c>
      <c r="L12">
        <v>0.64219999999999999</v>
      </c>
      <c r="M12" s="2">
        <v>1.9699999999999999E-2</v>
      </c>
      <c r="N12" s="2">
        <v>1.8E-3</v>
      </c>
      <c r="O12">
        <v>49.33</v>
      </c>
      <c r="P12" s="2">
        <v>6.5500000000000003E-2</v>
      </c>
      <c r="Q12" s="2">
        <v>2.64E-3</v>
      </c>
      <c r="R12">
        <v>163.66999999999999</v>
      </c>
      <c r="S12">
        <v>0.3</v>
      </c>
      <c r="T12" s="2">
        <f t="shared" ref="T12:T25" si="1">(N12+Q12)*10</f>
        <v>4.4399999999999995E-2</v>
      </c>
      <c r="U12">
        <v>20</v>
      </c>
      <c r="V12" s="4">
        <f t="shared" ref="V12:V25" si="2">D12/C12*R12</f>
        <v>65.334663951120163</v>
      </c>
      <c r="W12" s="4">
        <f t="shared" ref="W12:W25" si="3">E12/C12*R12</f>
        <v>48.667657841140525</v>
      </c>
      <c r="X12" s="4">
        <f t="shared" ref="X12:X18" si="4">N12*2500</f>
        <v>4.5</v>
      </c>
    </row>
    <row r="13" spans="1:29" x14ac:dyDescent="0.3">
      <c r="A13" t="s">
        <v>34</v>
      </c>
      <c r="B13">
        <v>233</v>
      </c>
      <c r="C13">
        <v>241</v>
      </c>
      <c r="D13">
        <v>81</v>
      </c>
      <c r="E13">
        <v>96</v>
      </c>
      <c r="F13">
        <v>26.56</v>
      </c>
      <c r="G13">
        <f>F13*0.01</f>
        <v>0.2656</v>
      </c>
      <c r="H13">
        <v>-0.08</v>
      </c>
      <c r="I13">
        <v>4.5</v>
      </c>
      <c r="J13">
        <v>120</v>
      </c>
      <c r="K13">
        <v>12.33</v>
      </c>
      <c r="L13">
        <v>0.65610000000000002</v>
      </c>
      <c r="M13" s="2">
        <v>2.0799999999999999E-2</v>
      </c>
      <c r="N13" s="2">
        <v>3.2000000000000002E-3</v>
      </c>
      <c r="O13">
        <f>M13*50*50</f>
        <v>52</v>
      </c>
      <c r="P13" s="2">
        <v>4.82E-2</v>
      </c>
      <c r="Q13" s="2">
        <v>1.8E-3</v>
      </c>
      <c r="R13">
        <v>120.5</v>
      </c>
      <c r="S13">
        <v>0.44</v>
      </c>
      <c r="T13" s="2">
        <f t="shared" si="1"/>
        <v>0.05</v>
      </c>
      <c r="U13">
        <v>20</v>
      </c>
      <c r="V13" s="5">
        <f t="shared" si="2"/>
        <v>40.5</v>
      </c>
      <c r="W13" s="5">
        <f t="shared" si="3"/>
        <v>48</v>
      </c>
      <c r="X13" s="4">
        <f t="shared" si="4"/>
        <v>8</v>
      </c>
    </row>
    <row r="14" spans="1:29" x14ac:dyDescent="0.3">
      <c r="A14" t="s">
        <v>11</v>
      </c>
      <c r="B14">
        <v>298</v>
      </c>
      <c r="C14">
        <v>481</v>
      </c>
      <c r="D14">
        <v>345</v>
      </c>
      <c r="E14">
        <v>95</v>
      </c>
      <c r="F14">
        <v>8.52</v>
      </c>
      <c r="G14">
        <f>F14*0.01</f>
        <v>8.5199999999999998E-2</v>
      </c>
      <c r="H14">
        <v>0.56999999999999995</v>
      </c>
      <c r="I14">
        <v>12.11</v>
      </c>
      <c r="J14">
        <v>48</v>
      </c>
      <c r="K14">
        <v>4.92</v>
      </c>
      <c r="L14">
        <v>0.77639999999999998</v>
      </c>
      <c r="M14" s="2">
        <v>2.3900000000000001E-2</v>
      </c>
      <c r="N14" s="2">
        <v>3.7499999999999999E-3</v>
      </c>
      <c r="O14">
        <v>59.8</v>
      </c>
      <c r="P14" s="2">
        <v>2.86E-2</v>
      </c>
      <c r="Q14" s="2">
        <v>3.7499999999999999E-3</v>
      </c>
      <c r="R14">
        <v>71.5</v>
      </c>
      <c r="S14">
        <v>0.84</v>
      </c>
      <c r="T14" s="2">
        <f t="shared" si="1"/>
        <v>7.4999999999999997E-2</v>
      </c>
      <c r="U14">
        <v>5</v>
      </c>
      <c r="V14" s="5">
        <f t="shared" si="2"/>
        <v>51.283783783783782</v>
      </c>
      <c r="W14" s="5">
        <f t="shared" si="3"/>
        <v>14.121621621621623</v>
      </c>
      <c r="X14" s="4">
        <f t="shared" si="4"/>
        <v>9.375</v>
      </c>
      <c r="Y14" t="s">
        <v>28</v>
      </c>
    </row>
    <row r="15" spans="1:29" x14ac:dyDescent="0.3">
      <c r="A15" t="s">
        <v>54</v>
      </c>
      <c r="B15">
        <v>350</v>
      </c>
      <c r="C15">
        <v>635</v>
      </c>
      <c r="D15">
        <v>367</v>
      </c>
      <c r="E15">
        <v>182</v>
      </c>
      <c r="F15">
        <v>13.54</v>
      </c>
      <c r="G15">
        <f t="shared" si="0"/>
        <v>0.13539999999999999</v>
      </c>
      <c r="H15">
        <v>0.34</v>
      </c>
      <c r="I15">
        <v>11.4</v>
      </c>
      <c r="J15">
        <v>57</v>
      </c>
      <c r="K15">
        <v>5.91</v>
      </c>
      <c r="L15">
        <v>0.80579999999999996</v>
      </c>
      <c r="M15" s="2">
        <v>2.29E-2</v>
      </c>
      <c r="N15" s="2">
        <v>5.2599999999999999E-3</v>
      </c>
      <c r="O15">
        <v>57.36</v>
      </c>
      <c r="P15" s="2">
        <v>4.5599999999999998E-3</v>
      </c>
      <c r="Q15" s="2">
        <v>4.5599999999999998E-3</v>
      </c>
      <c r="R15">
        <v>57.73</v>
      </c>
      <c r="S15">
        <v>0.99</v>
      </c>
      <c r="T15" s="2">
        <f t="shared" si="1"/>
        <v>9.8199999999999982E-2</v>
      </c>
      <c r="U15">
        <v>20</v>
      </c>
      <c r="V15" s="4">
        <f t="shared" si="2"/>
        <v>33.365212598425195</v>
      </c>
      <c r="W15" s="4">
        <f t="shared" si="3"/>
        <v>16.546236220472441</v>
      </c>
      <c r="X15" s="4">
        <f t="shared" si="4"/>
        <v>13.15</v>
      </c>
      <c r="AA15" t="s">
        <v>58</v>
      </c>
    </row>
    <row r="16" spans="1:29" x14ac:dyDescent="0.3">
      <c r="A16" t="s">
        <v>55</v>
      </c>
      <c r="B16">
        <v>400</v>
      </c>
      <c r="C16">
        <v>1074</v>
      </c>
      <c r="D16">
        <v>410</v>
      </c>
      <c r="E16">
        <v>600</v>
      </c>
      <c r="F16">
        <v>5.96</v>
      </c>
      <c r="G16">
        <f t="shared" si="0"/>
        <v>5.96E-2</v>
      </c>
      <c r="H16">
        <v>-0.19</v>
      </c>
      <c r="I16">
        <v>24.42</v>
      </c>
      <c r="J16">
        <v>134</v>
      </c>
      <c r="K16">
        <v>13.74</v>
      </c>
      <c r="L16">
        <v>0.80559999999999998</v>
      </c>
      <c r="M16" s="2">
        <v>1.4E-3</v>
      </c>
      <c r="N16" s="2">
        <v>5.9999999999999995E-4</v>
      </c>
      <c r="O16">
        <v>3.5</v>
      </c>
      <c r="P16" s="2">
        <v>5.3699999999999998E-2</v>
      </c>
      <c r="Q16" s="2">
        <v>9.7699999999999992E-3</v>
      </c>
      <c r="R16">
        <v>134.25</v>
      </c>
      <c r="S16">
        <v>0.03</v>
      </c>
      <c r="T16" s="2">
        <f t="shared" si="1"/>
        <v>0.10369999999999999</v>
      </c>
      <c r="U16">
        <v>20</v>
      </c>
      <c r="V16" s="4">
        <f t="shared" si="2"/>
        <v>51.25</v>
      </c>
      <c r="W16" s="4">
        <f t="shared" si="3"/>
        <v>75</v>
      </c>
      <c r="X16" s="4">
        <f t="shared" si="4"/>
        <v>1.4999999999999998</v>
      </c>
      <c r="Y16" t="s">
        <v>56</v>
      </c>
      <c r="Z16" t="s">
        <v>57</v>
      </c>
    </row>
    <row r="17" spans="1:25" x14ac:dyDescent="0.3">
      <c r="A17" t="s">
        <v>78</v>
      </c>
      <c r="B17">
        <v>500</v>
      </c>
      <c r="C17">
        <v>1860</v>
      </c>
      <c r="D17">
        <v>543</v>
      </c>
      <c r="E17">
        <v>819</v>
      </c>
      <c r="F17">
        <v>26.77</v>
      </c>
      <c r="G17">
        <v>0.15</v>
      </c>
      <c r="H17">
        <v>-0.21</v>
      </c>
      <c r="I17">
        <v>19.670000000000002</v>
      </c>
      <c r="J17">
        <v>169</v>
      </c>
      <c r="K17">
        <v>15.06</v>
      </c>
      <c r="L17">
        <v>0.73960000000000004</v>
      </c>
      <c r="M17" s="2">
        <v>1.35E-2</v>
      </c>
      <c r="N17" s="2">
        <v>4.3299999999999996E-3</v>
      </c>
      <c r="O17">
        <v>33.64</v>
      </c>
      <c r="P17" s="2">
        <v>6.7599999999999993E-2</v>
      </c>
      <c r="Q17" s="2">
        <v>7.8700000000000003E-3</v>
      </c>
      <c r="R17">
        <v>169.09</v>
      </c>
      <c r="S17">
        <v>0.2</v>
      </c>
      <c r="T17" s="2">
        <f t="shared" si="1"/>
        <v>0.122</v>
      </c>
      <c r="U17" s="2">
        <v>20</v>
      </c>
      <c r="V17" s="4">
        <f t="shared" si="2"/>
        <v>49.363370967741936</v>
      </c>
      <c r="W17" s="4">
        <f t="shared" si="3"/>
        <v>74.454145161290327</v>
      </c>
      <c r="X17" s="4">
        <f t="shared" si="4"/>
        <v>10.824999999999999</v>
      </c>
    </row>
    <row r="18" spans="1:25" x14ac:dyDescent="0.3">
      <c r="A18" t="s">
        <v>77</v>
      </c>
      <c r="B18">
        <v>550</v>
      </c>
      <c r="C18">
        <v>293</v>
      </c>
      <c r="D18">
        <v>24</v>
      </c>
      <c r="E18">
        <v>24</v>
      </c>
      <c r="F18">
        <v>25</v>
      </c>
      <c r="G18">
        <f t="shared" si="0"/>
        <v>0.25</v>
      </c>
      <c r="H18">
        <v>0</v>
      </c>
      <c r="I18">
        <v>29.59</v>
      </c>
      <c r="J18">
        <v>58</v>
      </c>
      <c r="K18">
        <v>5.22</v>
      </c>
      <c r="L18">
        <v>0.69779999999999998</v>
      </c>
      <c r="M18" s="2">
        <v>3.9E-2</v>
      </c>
      <c r="N18" s="2">
        <v>2.3700000000000001E-3</v>
      </c>
      <c r="O18">
        <v>97.5</v>
      </c>
      <c r="P18" s="2">
        <v>2.3400000000000001E-2</v>
      </c>
      <c r="Q18" s="2">
        <v>1.18E-2</v>
      </c>
      <c r="R18">
        <v>58.6</v>
      </c>
      <c r="S18">
        <v>1.66</v>
      </c>
      <c r="T18" s="2">
        <f t="shared" si="1"/>
        <v>0.14169999999999999</v>
      </c>
      <c r="U18" s="2">
        <v>20</v>
      </c>
      <c r="V18" s="4">
        <f t="shared" si="2"/>
        <v>4.8</v>
      </c>
      <c r="W18" s="4">
        <f t="shared" si="3"/>
        <v>4.8</v>
      </c>
      <c r="X18" s="4">
        <f t="shared" si="4"/>
        <v>5.9250000000000007</v>
      </c>
    </row>
    <row r="19" spans="1:25" x14ac:dyDescent="0.3">
      <c r="A19" s="1" t="s">
        <v>69</v>
      </c>
      <c r="T19" s="2"/>
      <c r="V19" s="4"/>
      <c r="W19" s="4"/>
      <c r="X19" s="4"/>
    </row>
    <row r="20" spans="1:25" x14ac:dyDescent="0.3">
      <c r="A20" t="s">
        <v>61</v>
      </c>
      <c r="B20">
        <v>98</v>
      </c>
      <c r="C20">
        <v>798</v>
      </c>
      <c r="D20">
        <v>347</v>
      </c>
      <c r="E20">
        <v>321</v>
      </c>
      <c r="F20">
        <v>16.29</v>
      </c>
      <c r="H20">
        <v>0.04</v>
      </c>
      <c r="I20">
        <v>7.5</v>
      </c>
      <c r="J20">
        <v>88</v>
      </c>
      <c r="K20">
        <v>25.2</v>
      </c>
      <c r="L20">
        <v>0.70669999999999999</v>
      </c>
      <c r="M20" s="2">
        <v>2.07E-2</v>
      </c>
      <c r="N20" s="2">
        <v>3.63E-3</v>
      </c>
      <c r="O20">
        <v>51.85</v>
      </c>
      <c r="P20" s="2">
        <v>9.8500000000000004E-2</v>
      </c>
      <c r="Q20" s="2">
        <v>8.3300000000000006E-3</v>
      </c>
      <c r="R20">
        <v>246.3</v>
      </c>
      <c r="S20">
        <v>0.21</v>
      </c>
      <c r="T20" s="2">
        <f t="shared" si="1"/>
        <v>0.1196</v>
      </c>
      <c r="U20">
        <v>20</v>
      </c>
      <c r="V20" s="4">
        <f t="shared" si="2"/>
        <v>107.10037593984963</v>
      </c>
      <c r="W20" s="4">
        <f t="shared" si="3"/>
        <v>99.075563909774445</v>
      </c>
      <c r="X20" s="4">
        <f t="shared" ref="X12:X25" si="5">W20+V20</f>
        <v>206.17593984962406</v>
      </c>
    </row>
    <row r="21" spans="1:25" x14ac:dyDescent="0.3">
      <c r="A21" t="s">
        <v>62</v>
      </c>
      <c r="B21">
        <v>173</v>
      </c>
      <c r="C21">
        <v>585</v>
      </c>
      <c r="D21">
        <v>288</v>
      </c>
      <c r="E21">
        <v>239</v>
      </c>
      <c r="F21">
        <v>9.91</v>
      </c>
      <c r="H21">
        <v>0.09</v>
      </c>
      <c r="I21">
        <v>6.21</v>
      </c>
      <c r="J21">
        <v>83</v>
      </c>
      <c r="K21">
        <v>23.75</v>
      </c>
      <c r="L21">
        <v>0.69030000000000002</v>
      </c>
      <c r="M21" s="2">
        <v>3.1699999999999999E-2</v>
      </c>
      <c r="N21" s="2">
        <v>1.2200000000000001E-2</v>
      </c>
      <c r="O21">
        <v>79.37</v>
      </c>
      <c r="P21" s="2">
        <v>9.2899999999999996E-2</v>
      </c>
      <c r="Q21" s="2">
        <v>6.8999999999999999E-3</v>
      </c>
      <c r="R21">
        <v>232.14</v>
      </c>
      <c r="S21" s="3">
        <v>0.34</v>
      </c>
      <c r="T21" s="2">
        <f t="shared" si="1"/>
        <v>0.191</v>
      </c>
      <c r="U21">
        <v>20</v>
      </c>
      <c r="V21" s="4">
        <f t="shared" si="2"/>
        <v>114.28430769230769</v>
      </c>
      <c r="W21" s="4">
        <f t="shared" si="3"/>
        <v>94.840102564102551</v>
      </c>
      <c r="X21" s="4">
        <f t="shared" si="5"/>
        <v>209.12441025641024</v>
      </c>
      <c r="Y21" t="s">
        <v>64</v>
      </c>
    </row>
    <row r="22" spans="1:25" x14ac:dyDescent="0.3">
      <c r="A22" t="s">
        <v>9</v>
      </c>
      <c r="B22">
        <v>233</v>
      </c>
      <c r="C22">
        <v>446</v>
      </c>
      <c r="D22">
        <v>216</v>
      </c>
      <c r="E22">
        <v>162</v>
      </c>
      <c r="F22">
        <v>15.25</v>
      </c>
      <c r="G22">
        <f>F22*0.01</f>
        <v>0.1525</v>
      </c>
      <c r="H22">
        <v>0.14000000000000001</v>
      </c>
      <c r="I22">
        <v>7.13</v>
      </c>
      <c r="J22">
        <v>74</v>
      </c>
      <c r="K22">
        <v>21.13</v>
      </c>
      <c r="L22">
        <v>0.64659999999999995</v>
      </c>
      <c r="M22" s="2">
        <v>3.2599999999999997E-2</v>
      </c>
      <c r="N22" s="2">
        <v>6.6299999999999996E-3</v>
      </c>
      <c r="O22">
        <v>81.48</v>
      </c>
      <c r="P22" s="2">
        <v>8.2600000000000007E-2</v>
      </c>
      <c r="Q22" s="2">
        <v>7.9299999999999995E-3</v>
      </c>
      <c r="R22">
        <v>206.48</v>
      </c>
      <c r="S22">
        <v>0.39</v>
      </c>
      <c r="T22" s="2">
        <f t="shared" si="1"/>
        <v>0.14560000000000001</v>
      </c>
      <c r="U22">
        <v>20</v>
      </c>
      <c r="V22" s="5">
        <f t="shared" si="2"/>
        <v>99.999282511210765</v>
      </c>
      <c r="W22" s="5">
        <f t="shared" si="3"/>
        <v>74.99946188340806</v>
      </c>
      <c r="X22" s="4">
        <f t="shared" si="5"/>
        <v>174.99874439461883</v>
      </c>
    </row>
    <row r="23" spans="1:25" x14ac:dyDescent="0.3">
      <c r="A23" t="s">
        <v>12</v>
      </c>
      <c r="B23">
        <v>298</v>
      </c>
      <c r="C23">
        <v>753</v>
      </c>
      <c r="D23">
        <v>483</v>
      </c>
      <c r="E23">
        <v>108</v>
      </c>
      <c r="F23">
        <v>15.3</v>
      </c>
      <c r="H23">
        <v>0.64</v>
      </c>
      <c r="I23">
        <v>11.9</v>
      </c>
      <c r="J23">
        <v>33</v>
      </c>
      <c r="K23">
        <v>9.3800000000000008</v>
      </c>
      <c r="L23">
        <v>0.68559999999999999</v>
      </c>
      <c r="M23" s="2">
        <v>0.04</v>
      </c>
      <c r="N23" s="2">
        <v>1.1299999999999999E-2</v>
      </c>
      <c r="O23">
        <v>100</v>
      </c>
      <c r="P23" s="2">
        <v>3.9800000000000002E-2</v>
      </c>
      <c r="Q23" s="2">
        <v>1.8800000000000001E-2</v>
      </c>
      <c r="R23">
        <v>100.14</v>
      </c>
      <c r="S23">
        <v>1.01</v>
      </c>
      <c r="T23" s="2">
        <f t="shared" si="1"/>
        <v>0.30100000000000005</v>
      </c>
      <c r="U23">
        <v>5</v>
      </c>
      <c r="V23" s="5">
        <f t="shared" si="2"/>
        <v>64.233227091633466</v>
      </c>
      <c r="W23" s="5">
        <f t="shared" si="3"/>
        <v>14.362709163346615</v>
      </c>
      <c r="X23" s="4">
        <f t="shared" si="5"/>
        <v>78.595936254980074</v>
      </c>
      <c r="Y23" t="s">
        <v>28</v>
      </c>
    </row>
    <row r="24" spans="1:25" x14ac:dyDescent="0.3">
      <c r="A24" t="s">
        <v>60</v>
      </c>
      <c r="B24">
        <v>350</v>
      </c>
      <c r="C24">
        <v>288</v>
      </c>
      <c r="D24">
        <v>65</v>
      </c>
      <c r="E24">
        <v>145</v>
      </c>
      <c r="F24">
        <v>26.04</v>
      </c>
      <c r="H24">
        <v>-0.39</v>
      </c>
      <c r="I24">
        <v>12.53</v>
      </c>
      <c r="J24">
        <v>57</v>
      </c>
      <c r="K24">
        <v>14.25</v>
      </c>
      <c r="L24">
        <v>0.6905</v>
      </c>
      <c r="M24" s="2">
        <v>5.5599999999999998E-3</v>
      </c>
      <c r="N24" s="2">
        <v>3.7799999999999999E-3</v>
      </c>
      <c r="O24" s="2">
        <v>6.4000000000000001E-2</v>
      </c>
      <c r="P24" s="2">
        <v>1.3899999999999999E-2</v>
      </c>
      <c r="Q24" s="2">
        <v>9.6200000000000001E-3</v>
      </c>
      <c r="R24">
        <v>160</v>
      </c>
      <c r="S24">
        <v>0.09</v>
      </c>
      <c r="T24" s="2">
        <f t="shared" si="1"/>
        <v>0.13400000000000001</v>
      </c>
      <c r="U24">
        <v>20</v>
      </c>
      <c r="V24" s="4">
        <f t="shared" si="2"/>
        <v>36.111111111111114</v>
      </c>
      <c r="W24" s="4">
        <f t="shared" si="3"/>
        <v>80.555555555555557</v>
      </c>
      <c r="X24" s="4">
        <f t="shared" si="5"/>
        <v>116.66666666666667</v>
      </c>
    </row>
    <row r="25" spans="1:25" x14ac:dyDescent="0.3">
      <c r="A25" t="s">
        <v>63</v>
      </c>
      <c r="B25">
        <v>350</v>
      </c>
      <c r="C25">
        <v>310</v>
      </c>
      <c r="D25">
        <v>65</v>
      </c>
      <c r="E25">
        <v>166</v>
      </c>
      <c r="F25">
        <v>25.48</v>
      </c>
      <c r="H25">
        <v>-0.44</v>
      </c>
      <c r="I25">
        <v>8.65</v>
      </c>
      <c r="J25">
        <v>103</v>
      </c>
      <c r="K25">
        <v>25.56</v>
      </c>
      <c r="L25">
        <v>0.73570000000000002</v>
      </c>
      <c r="M25" s="2">
        <v>2.5899999999999999E-3</v>
      </c>
      <c r="N25" s="2">
        <v>5.2400000000000005E-4</v>
      </c>
      <c r="O25">
        <v>6.48</v>
      </c>
      <c r="P25" s="2">
        <v>0.115</v>
      </c>
      <c r="Q25" s="2">
        <v>9.6200000000000001E-3</v>
      </c>
      <c r="R25">
        <v>287.04000000000002</v>
      </c>
      <c r="S25">
        <v>0.02</v>
      </c>
      <c r="T25" s="2">
        <f t="shared" si="1"/>
        <v>0.10144</v>
      </c>
      <c r="U25" s="2">
        <v>20</v>
      </c>
      <c r="V25" s="4">
        <f t="shared" si="2"/>
        <v>60.185806451612912</v>
      </c>
      <c r="W25" s="4">
        <f t="shared" si="3"/>
        <v>153.70529032258068</v>
      </c>
      <c r="X25" s="4">
        <f t="shared" si="5"/>
        <v>213.89109677419358</v>
      </c>
    </row>
    <row r="26" spans="1:25" x14ac:dyDescent="0.3">
      <c r="M26" s="2"/>
      <c r="N26" s="2"/>
      <c r="P26" s="2"/>
      <c r="Q26" s="2"/>
      <c r="S26" s="2"/>
      <c r="T26" s="2"/>
      <c r="U26" s="2"/>
      <c r="V26" s="4"/>
      <c r="W26" s="4"/>
    </row>
    <row r="27" spans="1:25" x14ac:dyDescent="0.3">
      <c r="A27" s="1" t="s">
        <v>71</v>
      </c>
      <c r="B27" s="1" t="s">
        <v>6</v>
      </c>
      <c r="C27" s="1" t="s">
        <v>20</v>
      </c>
      <c r="D27" s="1" t="s">
        <v>1</v>
      </c>
      <c r="E27" s="1" t="s">
        <v>2</v>
      </c>
      <c r="F27" s="1" t="s">
        <v>4</v>
      </c>
      <c r="G27" s="1" t="s">
        <v>25</v>
      </c>
      <c r="H27" s="1" t="s">
        <v>3</v>
      </c>
      <c r="I27" s="1" t="s">
        <v>23</v>
      </c>
      <c r="J27" s="1" t="s">
        <v>18</v>
      </c>
      <c r="K27" s="1" t="s">
        <v>26</v>
      </c>
      <c r="L27" s="1" t="s">
        <v>19</v>
      </c>
      <c r="M27" s="1" t="s">
        <v>47</v>
      </c>
      <c r="N27" s="1" t="s">
        <v>45</v>
      </c>
      <c r="O27" s="1" t="s">
        <v>48</v>
      </c>
      <c r="P27" s="1" t="s">
        <v>50</v>
      </c>
      <c r="Q27" s="1" t="s">
        <v>51</v>
      </c>
      <c r="R27" s="1" t="s">
        <v>49</v>
      </c>
      <c r="S27" s="1" t="s">
        <v>46</v>
      </c>
      <c r="T27" s="1" t="s">
        <v>66</v>
      </c>
      <c r="U27" s="1" t="s">
        <v>65</v>
      </c>
      <c r="V27" s="4"/>
      <c r="W27" s="4"/>
      <c r="X27" s="1"/>
      <c r="Y27" s="1" t="s">
        <v>27</v>
      </c>
    </row>
    <row r="28" spans="1:25" x14ac:dyDescent="0.3">
      <c r="A28" t="s">
        <v>72</v>
      </c>
      <c r="B28">
        <v>98</v>
      </c>
      <c r="C28">
        <v>554</v>
      </c>
      <c r="D28">
        <v>231</v>
      </c>
      <c r="E28">
        <v>123</v>
      </c>
      <c r="F28">
        <v>30.69</v>
      </c>
      <c r="H28">
        <v>0.36</v>
      </c>
      <c r="I28">
        <v>12.75</v>
      </c>
      <c r="J28">
        <v>46</v>
      </c>
      <c r="K28">
        <v>11.42</v>
      </c>
      <c r="L28">
        <v>0.70850000000000002</v>
      </c>
      <c r="M28" s="2">
        <v>3.0700000000000002E-2</v>
      </c>
      <c r="N28" s="2">
        <v>7.5300000000000002E-3</v>
      </c>
      <c r="O28">
        <v>76.77</v>
      </c>
      <c r="P28" s="2">
        <v>5.1299999999999998E-2</v>
      </c>
      <c r="Q28" s="2">
        <v>1.4200000000000001E-2</v>
      </c>
      <c r="R28">
        <v>128.24</v>
      </c>
      <c r="S28">
        <v>0.6</v>
      </c>
      <c r="T28" s="2"/>
      <c r="U28" s="2"/>
      <c r="V28" s="5">
        <f t="shared" ref="V28:V32" si="6">D28/C28*R28</f>
        <v>53.471913357400723</v>
      </c>
      <c r="W28" s="5">
        <f t="shared" ref="W28:W32" si="7">E28/C28*R28</f>
        <v>28.472057761732852</v>
      </c>
    </row>
    <row r="29" spans="1:25" x14ac:dyDescent="0.3">
      <c r="A29" t="s">
        <v>68</v>
      </c>
      <c r="B29">
        <v>298</v>
      </c>
      <c r="C29">
        <v>387</v>
      </c>
      <c r="D29">
        <v>213</v>
      </c>
      <c r="E29">
        <v>89</v>
      </c>
      <c r="F29">
        <v>21.96</v>
      </c>
      <c r="H29">
        <v>0.41</v>
      </c>
      <c r="I29">
        <v>21.88</v>
      </c>
      <c r="J29">
        <v>46</v>
      </c>
      <c r="K29">
        <v>11.96</v>
      </c>
      <c r="L29">
        <v>0.73350000000000004</v>
      </c>
      <c r="M29" s="2">
        <v>3.1899999999999998E-2</v>
      </c>
      <c r="N29" s="2">
        <v>1.2500000000000001E-2</v>
      </c>
      <c r="O29">
        <v>79.86</v>
      </c>
      <c r="P29" s="2">
        <v>5.3800000000000001E-2</v>
      </c>
      <c r="Q29" s="2">
        <v>2.69E-2</v>
      </c>
      <c r="R29">
        <v>134.38</v>
      </c>
      <c r="S29">
        <v>0.59</v>
      </c>
      <c r="T29" s="2"/>
      <c r="U29" s="2"/>
      <c r="V29" s="5">
        <f t="shared" si="6"/>
        <v>73.961085271317828</v>
      </c>
      <c r="W29" s="5">
        <f t="shared" si="7"/>
        <v>30.903927648578811</v>
      </c>
      <c r="Y29" t="s">
        <v>74</v>
      </c>
    </row>
    <row r="30" spans="1:25" x14ac:dyDescent="0.3">
      <c r="A30" t="s">
        <v>75</v>
      </c>
      <c r="B30">
        <v>298</v>
      </c>
      <c r="C30">
        <v>152</v>
      </c>
      <c r="D30">
        <v>136</v>
      </c>
      <c r="E30">
        <v>8</v>
      </c>
      <c r="F30">
        <v>5.26</v>
      </c>
      <c r="H30">
        <v>0.89</v>
      </c>
      <c r="I30">
        <v>5.12</v>
      </c>
      <c r="J30">
        <v>30</v>
      </c>
      <c r="K30">
        <v>7.52</v>
      </c>
      <c r="L30">
        <v>0.52070000000000005</v>
      </c>
      <c r="M30" s="2">
        <v>4.1300000000000003E-2</v>
      </c>
      <c r="N30" s="2">
        <v>3.3999999999999998E-3</v>
      </c>
      <c r="O30">
        <v>103.33</v>
      </c>
      <c r="P30" s="2">
        <v>3.3799999999999997E-2</v>
      </c>
      <c r="Q30" s="2">
        <v>5.6899999999999997E-3</v>
      </c>
      <c r="R30">
        <v>84.44</v>
      </c>
      <c r="S30">
        <v>1.22</v>
      </c>
      <c r="T30" s="2"/>
      <c r="U30" s="2"/>
      <c r="V30" s="4">
        <f t="shared" si="6"/>
        <v>75.551578947368426</v>
      </c>
      <c r="W30" s="4">
        <f t="shared" si="7"/>
        <v>4.4442105263157892</v>
      </c>
    </row>
    <row r="31" spans="1:25" x14ac:dyDescent="0.3">
      <c r="A31" t="s">
        <v>76</v>
      </c>
      <c r="B31">
        <v>298</v>
      </c>
      <c r="C31">
        <v>297</v>
      </c>
      <c r="D31">
        <v>131</v>
      </c>
      <c r="E31">
        <v>85</v>
      </c>
      <c r="F31">
        <v>27.27</v>
      </c>
      <c r="H31">
        <v>0.21</v>
      </c>
      <c r="I31">
        <v>10.78</v>
      </c>
      <c r="J31">
        <v>74</v>
      </c>
      <c r="K31">
        <v>18.36</v>
      </c>
      <c r="L31">
        <v>0.74250000000000005</v>
      </c>
      <c r="M31" s="2">
        <v>3.2199999999999999E-2</v>
      </c>
      <c r="N31" s="2">
        <v>2.7699999999999999E-2</v>
      </c>
      <c r="O31">
        <v>80.56</v>
      </c>
      <c r="P31" s="2">
        <v>8.2500000000000004E-2</v>
      </c>
      <c r="Q31" s="2">
        <v>1.2E-2</v>
      </c>
      <c r="R31">
        <v>206.25</v>
      </c>
      <c r="S31">
        <v>0.39</v>
      </c>
      <c r="T31" s="2"/>
      <c r="U31" s="2"/>
      <c r="V31" s="4">
        <f t="shared" si="6"/>
        <v>90.972222222222214</v>
      </c>
      <c r="W31" s="4">
        <f t="shared" si="7"/>
        <v>59.027777777777771</v>
      </c>
    </row>
    <row r="32" spans="1:25" x14ac:dyDescent="0.3">
      <c r="A32" t="s">
        <v>73</v>
      </c>
      <c r="B32">
        <v>350</v>
      </c>
      <c r="C32">
        <v>448</v>
      </c>
      <c r="D32">
        <v>143</v>
      </c>
      <c r="E32">
        <v>230</v>
      </c>
      <c r="F32">
        <v>16.739999999999998</v>
      </c>
      <c r="H32">
        <v>-0.23</v>
      </c>
      <c r="I32">
        <v>9.3800000000000008</v>
      </c>
      <c r="J32">
        <v>49</v>
      </c>
      <c r="K32">
        <v>12.31</v>
      </c>
      <c r="L32">
        <v>0.83679999999999999</v>
      </c>
      <c r="M32" s="2">
        <v>1.67E-2</v>
      </c>
      <c r="N32" s="2">
        <v>4.4099999999999999E-3</v>
      </c>
      <c r="O32">
        <v>41.67</v>
      </c>
      <c r="P32" s="2">
        <v>5.5300000000000002E-2</v>
      </c>
      <c r="Q32" s="2">
        <v>1.04E-2</v>
      </c>
      <c r="R32">
        <v>138.27000000000001</v>
      </c>
      <c r="S32">
        <v>0.3</v>
      </c>
      <c r="V32" s="4">
        <f t="shared" si="6"/>
        <v>44.135290178571431</v>
      </c>
      <c r="W32" s="4">
        <f t="shared" si="7"/>
        <v>70.98683035714285</v>
      </c>
    </row>
    <row r="34" spans="1:25" x14ac:dyDescent="0.3">
      <c r="A34" s="6" t="s">
        <v>13</v>
      </c>
      <c r="B34" s="6"/>
      <c r="C34" s="6"/>
      <c r="D34" s="6"/>
      <c r="E34" s="6"/>
      <c r="F34" s="6"/>
      <c r="G34" s="6"/>
      <c r="H34" s="6"/>
      <c r="I34" s="6"/>
      <c r="V34" s="4">
        <f>AVERAGE(V13,V22,V28)</f>
        <v>64.657065289537158</v>
      </c>
      <c r="W34" s="4">
        <f>AVERAGE(W13,W22,W28)</f>
        <v>50.490506548380303</v>
      </c>
      <c r="X34">
        <f>_xlfn.STDEV.S(V13,V22,V28)</f>
        <v>31.286928143330869</v>
      </c>
      <c r="Y34">
        <f>_xlfn.STDEV.S(W13,W22,W28)</f>
        <v>23.36347150416784</v>
      </c>
    </row>
    <row r="35" spans="1:25" x14ac:dyDescent="0.3">
      <c r="A35" s="1" t="s">
        <v>0</v>
      </c>
      <c r="B35" s="1" t="s">
        <v>6</v>
      </c>
      <c r="C35" s="1" t="s">
        <v>20</v>
      </c>
      <c r="D35" s="1" t="s">
        <v>1</v>
      </c>
      <c r="E35" s="1" t="s">
        <v>2</v>
      </c>
      <c r="F35" s="1" t="s">
        <v>4</v>
      </c>
      <c r="G35" s="1"/>
      <c r="H35" s="1" t="s">
        <v>3</v>
      </c>
      <c r="I35" s="1" t="s">
        <v>23</v>
      </c>
      <c r="J35" s="1" t="s">
        <v>18</v>
      </c>
      <c r="K35" s="1" t="s">
        <v>26</v>
      </c>
      <c r="L35" s="1" t="s">
        <v>19</v>
      </c>
      <c r="M35" s="1" t="s">
        <v>47</v>
      </c>
      <c r="N35" s="1" t="s">
        <v>45</v>
      </c>
      <c r="O35" s="1" t="s">
        <v>48</v>
      </c>
      <c r="P35" s="1" t="s">
        <v>50</v>
      </c>
      <c r="Q35" s="1" t="s">
        <v>51</v>
      </c>
      <c r="R35" s="1" t="s">
        <v>49</v>
      </c>
      <c r="S35" s="1" t="s">
        <v>46</v>
      </c>
      <c r="T35" s="1" t="s">
        <v>66</v>
      </c>
      <c r="U35" s="1" t="s">
        <v>65</v>
      </c>
      <c r="V35" s="4">
        <f>AVERAGE(V14,V23,V29)</f>
        <v>63.159365382245028</v>
      </c>
      <c r="W35" s="4">
        <f>AVERAGE(W14,W23,W29)</f>
        <v>19.796086144515684</v>
      </c>
      <c r="X35">
        <f>_xlfn.STDEV.S(V14,V23,V29)</f>
        <v>11.376725579765756</v>
      </c>
      <c r="Y35">
        <f>_xlfn.STDEV.S(W14,W23,W29)</f>
        <v>9.6204281588832767</v>
      </c>
    </row>
    <row r="36" spans="1:25" x14ac:dyDescent="0.3">
      <c r="A36" t="s">
        <v>32</v>
      </c>
      <c r="B36">
        <v>4.5</v>
      </c>
      <c r="F36">
        <v>16.329999999999998</v>
      </c>
      <c r="G36">
        <f>F36/100</f>
        <v>0.16329999999999997</v>
      </c>
      <c r="H36">
        <v>7.0000000000000007E-2</v>
      </c>
      <c r="U36">
        <v>1</v>
      </c>
    </row>
    <row r="37" spans="1:25" x14ac:dyDescent="0.3">
      <c r="A37" t="s">
        <v>31</v>
      </c>
      <c r="B37">
        <v>98</v>
      </c>
      <c r="F37">
        <v>15.79</v>
      </c>
      <c r="G37">
        <f>F37/100</f>
        <v>0.15789999999999998</v>
      </c>
      <c r="H37">
        <v>0</v>
      </c>
      <c r="U37">
        <v>20</v>
      </c>
    </row>
    <row r="38" spans="1:25" x14ac:dyDescent="0.3">
      <c r="A38" t="s">
        <v>33</v>
      </c>
      <c r="B38">
        <v>298</v>
      </c>
      <c r="F38">
        <v>21.03</v>
      </c>
      <c r="G38">
        <f>F38/100</f>
        <v>0.21030000000000001</v>
      </c>
      <c r="H38">
        <v>-0.27</v>
      </c>
      <c r="U38">
        <v>5</v>
      </c>
    </row>
    <row r="52" spans="1:27" x14ac:dyDescent="0.3">
      <c r="A52" s="6" t="s">
        <v>14</v>
      </c>
      <c r="B52" s="6"/>
      <c r="C52" s="6"/>
      <c r="D52" s="6"/>
      <c r="E52" s="6"/>
      <c r="F52" s="6"/>
      <c r="G52" s="6"/>
      <c r="H52" s="6"/>
      <c r="I52" s="6"/>
    </row>
    <row r="53" spans="1:27" x14ac:dyDescent="0.3">
      <c r="A53" s="1" t="s">
        <v>0</v>
      </c>
      <c r="B53" s="1" t="s">
        <v>6</v>
      </c>
      <c r="C53" s="1"/>
      <c r="D53" s="1" t="s">
        <v>1</v>
      </c>
      <c r="E53" s="1" t="s">
        <v>2</v>
      </c>
      <c r="F53" s="1" t="s">
        <v>4</v>
      </c>
      <c r="G53" s="1"/>
      <c r="H53" s="1" t="s">
        <v>3</v>
      </c>
      <c r="I53" s="1" t="s">
        <v>5</v>
      </c>
      <c r="Y53" t="s">
        <v>36</v>
      </c>
      <c r="Z53" t="s">
        <v>40</v>
      </c>
      <c r="AA53" t="s">
        <v>37</v>
      </c>
    </row>
    <row r="54" spans="1:27" x14ac:dyDescent="0.3">
      <c r="A54" t="s">
        <v>15</v>
      </c>
      <c r="B54">
        <v>10</v>
      </c>
      <c r="H54">
        <v>-0.06</v>
      </c>
      <c r="I54">
        <v>20.66</v>
      </c>
      <c r="S54" t="s">
        <v>35</v>
      </c>
      <c r="Y54">
        <v>1</v>
      </c>
      <c r="Z54">
        <v>50</v>
      </c>
      <c r="AA54">
        <v>123</v>
      </c>
    </row>
    <row r="55" spans="1:27" x14ac:dyDescent="0.3">
      <c r="A55" t="s">
        <v>16</v>
      </c>
      <c r="B55">
        <v>100</v>
      </c>
      <c r="H55">
        <v>-0.05</v>
      </c>
      <c r="I55">
        <v>26.16</v>
      </c>
      <c r="Y55">
        <v>2</v>
      </c>
      <c r="Z55">
        <v>50</v>
      </c>
      <c r="AA55">
        <v>96</v>
      </c>
    </row>
    <row r="56" spans="1:27" x14ac:dyDescent="0.3">
      <c r="A56" t="s">
        <v>17</v>
      </c>
      <c r="B56">
        <v>298</v>
      </c>
      <c r="H56">
        <v>0.2</v>
      </c>
      <c r="I56">
        <v>18.75</v>
      </c>
      <c r="Y56">
        <v>3</v>
      </c>
      <c r="Z56">
        <v>50</v>
      </c>
      <c r="AA56">
        <v>105</v>
      </c>
    </row>
    <row r="58" spans="1:27" x14ac:dyDescent="0.3">
      <c r="Y58" t="s">
        <v>38</v>
      </c>
      <c r="AA58">
        <f>AVERAGE(AA54:AA56)</f>
        <v>108</v>
      </c>
    </row>
    <row r="59" spans="1:27" x14ac:dyDescent="0.3">
      <c r="Y59" t="s">
        <v>39</v>
      </c>
      <c r="AA59">
        <f>_xlfn.STDEV.S(AA54:AA56)</f>
        <v>13.74772708486752</v>
      </c>
    </row>
    <row r="60" spans="1:27" x14ac:dyDescent="0.3">
      <c r="Y60" t="s">
        <v>43</v>
      </c>
      <c r="AA60">
        <f>AA58/50^2</f>
        <v>4.3200000000000002E-2</v>
      </c>
    </row>
    <row r="62" spans="1:27" x14ac:dyDescent="0.3">
      <c r="AA62" t="s">
        <v>42</v>
      </c>
    </row>
    <row r="63" spans="1:27" x14ac:dyDescent="0.3">
      <c r="S63" t="s">
        <v>44</v>
      </c>
      <c r="Y63" t="s">
        <v>41</v>
      </c>
      <c r="Z63">
        <v>50</v>
      </c>
      <c r="AA63">
        <f t="shared" ref="AA63:AA68" si="8">AA$60*Z63*Z63</f>
        <v>108</v>
      </c>
    </row>
    <row r="64" spans="1:27" x14ac:dyDescent="0.3">
      <c r="Z64">
        <v>30</v>
      </c>
      <c r="AA64">
        <f t="shared" si="8"/>
        <v>38.880000000000003</v>
      </c>
    </row>
    <row r="65" spans="25:28" x14ac:dyDescent="0.3">
      <c r="Z65">
        <v>25</v>
      </c>
      <c r="AA65">
        <f t="shared" si="8"/>
        <v>27</v>
      </c>
    </row>
    <row r="66" spans="25:28" x14ac:dyDescent="0.3">
      <c r="Z66">
        <v>20</v>
      </c>
      <c r="AA66">
        <f t="shared" si="8"/>
        <v>17.28</v>
      </c>
    </row>
    <row r="67" spans="25:28" x14ac:dyDescent="0.3">
      <c r="Z67">
        <v>15</v>
      </c>
      <c r="AA67">
        <f t="shared" si="8"/>
        <v>9.7200000000000006</v>
      </c>
      <c r="AB67">
        <f>AA60*10</f>
        <v>0.43200000000000005</v>
      </c>
    </row>
    <row r="68" spans="25:28" x14ac:dyDescent="0.3">
      <c r="Z68">
        <v>10</v>
      </c>
      <c r="AA68">
        <f t="shared" si="8"/>
        <v>4.32</v>
      </c>
    </row>
    <row r="71" spans="25:28" x14ac:dyDescent="0.3">
      <c r="Y71" t="s">
        <v>67</v>
      </c>
    </row>
    <row r="72" spans="25:28" x14ac:dyDescent="0.3">
      <c r="Z72">
        <v>10</v>
      </c>
      <c r="AA72" s="1">
        <v>10</v>
      </c>
    </row>
  </sheetData>
  <mergeCells count="3">
    <mergeCell ref="A1:I1"/>
    <mergeCell ref="A34:I34"/>
    <mergeCell ref="A52:I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Jacob</dc:creator>
  <cp:lastModifiedBy>Wright, Jacob</cp:lastModifiedBy>
  <dcterms:created xsi:type="dcterms:W3CDTF">2015-06-05T18:19:34Z</dcterms:created>
  <dcterms:modified xsi:type="dcterms:W3CDTF">2026-05-04T11:03:43Z</dcterms:modified>
</cp:coreProperties>
</file>